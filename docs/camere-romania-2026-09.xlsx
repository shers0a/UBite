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umat" sheetId="1" state="visible" r:id="rId1"/>
    <sheet xmlns:r="http://schemas.openxmlformats.org/officeDocument/2006/relationships" name="Camere" sheetId="2" state="visible" r:id="rId2"/>
    <sheet xmlns:r="http://schemas.openxmlformats.org/officeDocument/2006/relationships" name="Accesorii" sheetId="3" state="visible" r:id="rId3"/>
    <sheet xmlns:r="http://schemas.openxmlformats.org/officeDocument/2006/relationships" name="Scenarii" sheetId="4" state="visible" r:id="rId4"/>
    <sheet xmlns:r="http://schemas.openxmlformats.org/officeDocument/2006/relationships" name="Flux spre server" sheetId="5" state="visible" r:id="rId5"/>
    <sheet xmlns:r="http://schemas.openxmlformats.org/officeDocument/2006/relationships" name="Rețea și întrebări" sheetId="6" state="visible" r:id="rId6"/>
    <sheet xmlns:r="http://schemas.openxmlformats.org/officeDocument/2006/relationships" name="Surse" sheetId="7" state="visible" r:id="rId7"/>
  </sheets>
  <definedNames>
    <definedName name="_xlnm._FilterDatabase" localSheetId="1" hidden="1">'Camere'!$A$4:$U$21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lei&quot;"/>
    <numFmt numFmtId="165" formatCode="#,##0&quot; lei&quot;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1161B"/>
      <sz val="16"/>
    </font>
    <font>
      <name val="Arial"/>
      <i val="1"/>
      <color rgb="00606A73"/>
      <sz val="9"/>
    </font>
    <font>
      <name val="Arial"/>
      <b val="1"/>
      <color rgb="0011161B"/>
      <sz val="10"/>
    </font>
    <font>
      <name val="Arial"/>
      <color rgb="0011161B"/>
      <sz val="10"/>
    </font>
    <font>
      <name val="Arial"/>
      <b val="1"/>
      <color rgb="00FFFFFF"/>
      <sz val="10"/>
    </font>
    <font>
      <name val="Arial"/>
      <color rgb="001F4FD8"/>
      <sz val="10"/>
      <u val="single"/>
    </font>
    <font>
      <name val="Arial"/>
      <b val="1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4FD8"/>
      </patternFill>
    </fill>
    <fill>
      <patternFill patternType="solid">
        <fgColor rgb="00D8F0E8"/>
      </patternFill>
    </fill>
    <fill>
      <patternFill patternType="solid">
        <fgColor rgb="00E4EAFB"/>
      </patternFill>
    </fill>
    <fill>
      <patternFill patternType="solid">
        <fgColor rgb="00E4E8ED"/>
      </patternFill>
    </fill>
    <fill>
      <patternFill patternType="solid">
        <fgColor rgb="00FBEBCF"/>
      </patternFill>
    </fill>
    <fill>
      <patternFill patternType="solid">
        <fgColor rgb="00FBE2DA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CE1E7"/>
      </left>
      <right style="thin">
        <color rgb="00DCE1E7"/>
      </right>
      <top style="thin">
        <color rgb="00DCE1E7"/>
      </top>
      <bottom style="thin">
        <color rgb="00DCE1E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5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165" fontId="4" fillId="7" borderId="1" applyAlignment="1" pivotButton="0" quotePrefix="0" xfId="0">
      <alignment vertical="top" wrapText="1"/>
    </xf>
    <xf numFmtId="0" fontId="7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7" fillId="0" borderId="0" pivotButton="0" quotePrefix="0" xfId="0"/>
    <xf numFmtId="164" fontId="7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8" borderId="1" pivotButton="0" quotePrefix="0" xfId="0"/>
    <xf numFmtId="0" fontId="8" fillId="0" borderId="0" pivotButton="0" quotePrefix="0" xfId="0"/>
    <xf numFmtId="0" fontId="5" fillId="2" borderId="1" pivotButton="0" quotePrefix="0" xfId="0"/>
    <xf numFmtId="0" fontId="4" fillId="0" borderId="1" pivotButton="0" quotePrefix="0" xfId="0"/>
    <xf numFmtId="2" fontId="4" fillId="0" borderId="1" pivotButton="0" quotePrefix="0" xfId="0"/>
    <xf numFmtId="166" fontId="4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ont>
        <b val="1"/>
        <color rgb="000B6B52"/>
      </font>
    </dxf>
    <dxf>
      <font>
        <b val="1"/>
        <color rgb="00A83A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mag.ro/search/IPC3618LE-ADF28K-G" TargetMode="External" Id="rId1"/><Relationship Type="http://schemas.openxmlformats.org/officeDocument/2006/relationships/hyperlink" Target="https://www.emag.ro/camera-de-supraveghere-hikvision-network-pro-series-with-acusense-2-8mm-acusense-fixed-turret-network-camera-8mp-3840x2160-ds-2cd2383g2-iu-28/pd/DMBXB5MBM/" TargetMode="External" Id="rId2"/><Relationship Type="http://schemas.openxmlformats.org/officeDocument/2006/relationships/hyperlink" Target="https://www.emag.ro/search/IPC3235SB-ADZK-I0" TargetMode="External" Id="rId3"/><Relationship Type="http://schemas.openxmlformats.org/officeDocument/2006/relationships/hyperlink" Target="https://www.emag.ro/camera-cu-microfon-hikvision-poe-ip67-4mp-alb-ds-2cd2143g2-iu-2-8mm/pd/D36QPLMBM/" TargetMode="External" Id="rId4"/><Relationship Type="http://schemas.openxmlformats.org/officeDocument/2006/relationships/hyperlink" Target="https://www.emag.ro/camera-ip-acusense-rezolutie-4-0-mp-lentila-2-8-12mm-ir-40m-sdcard-ik10-hikvision-2-8-12mm-ds-2cd2743g2-izs/pd/D4DRNXYBM/" TargetMode="External" Id="rId5"/><Relationship Type="http://schemas.openxmlformats.org/officeDocument/2006/relationships/hyperlink" Target="https://www.emag.ro/camera-de-supraveghere-uniview-vf-4mp-dome-lentila-varifocala-2-8-12mm-infrarosu-pana-la-40m-stocare-microsd-pana-la-512-ip-67-vandal-ik10-alb-ipc3534lb-adzk-h/pd/DFH04L2BM/" TargetMode="External" Id="rId6"/><Relationship Type="http://schemas.openxmlformats.org/officeDocument/2006/relationships/hyperlink" Target="https://www.emag.ro/camera-supraveghere-dahua-ip-4mp-ir-30m-wizsense-smd-card-poe-lentila-2-8mm-ik10-ipc-hdbw2441e-s-0280b/pd/D65VF5YBM/" TargetMode="External" Id="rId7"/><Relationship Type="http://schemas.openxmlformats.org/officeDocument/2006/relationships/hyperlink" Target="https://www.emag.ro/camera-de-supraveghere-reolink-rlc-833a-cu-inteligenta-artificiala-detectare-persoana-vehicul-zoom-optic-3x-rezolutie-de-8mp-4k-rlc-833a/pd/DBD5J6MBM/" TargetMode="External" Id="rId8"/><Relationship Type="http://schemas.openxmlformats.org/officeDocument/2006/relationships/hyperlink" Target="https://www.compari.ro/camere-de-supraveghere-c3871/axis-communications/m3086-v-2-4mm-02374-001-p954784317/" TargetMode="External" Id="rId9"/><Relationship Type="http://schemas.openxmlformats.org/officeDocument/2006/relationships/hyperlink" Target="https://www.emag.ro/camera-de-supraveghere-reolink-rlc-810a-cu-inteligenta-artificiala-detectare-persoana-vehicul-rezolutie-de-8mp-4k-avertizare-miscare-rlc-810a/pd/D5DWQ7MBM/" TargetMode="External" Id="rId10"/><Relationship Type="http://schemas.openxmlformats.org/officeDocument/2006/relationships/hyperlink" Target="https://www.emag.ro/camera-de-supraveghere-reolink-rlc-820a-cu-inteligenta-artificiala-detectare-persoana-vehicul-rezolutie-8mp-4k-notificare-pe-telef-rlc-820a/pd/D1Z01TMBM/" TargetMode="External" Id="rId11"/><Relationship Type="http://schemas.openxmlformats.org/officeDocument/2006/relationships/hyperlink" Target="https://www.emag.ro/camera-de-supraveghere-reolink-rlc-520a-cu-inteligenta-artificiala-detectare-persoana-vehicul-rezolutie-5mp-notificare-pe-telefon-rlc-520a/pd/DLS3XTMBM/" TargetMode="External" Id="rId12"/><Relationship Type="http://schemas.openxmlformats.org/officeDocument/2006/relationships/hyperlink" Target="https://www.emag.ro/search/IPC-HDW1839T-A-IL" TargetMode="External" Id="rId13"/><Relationship Type="http://schemas.openxmlformats.org/officeDocument/2006/relationships/hyperlink" Target="https://www.emag.ro/camera-de-supraveghere-tp-link-4mp-hd-poe-detectare-inteligenta-full-color-night-vision-microfon-integrat-suport-onvif-ip66-control-de-la-distanta-vigi-c340-2-8mm/pd/D2MVYXYBM/" TargetMode="External" Id="rId14"/><Relationship Type="http://schemas.openxmlformats.org/officeDocument/2006/relationships/hyperlink" Target="https://www.emag.ro/camera-de-retea-tp-link-vigi-3mp-dom-pentru-interior-vigi-c230i-mini-2-8-mm-cmos-de-scanare-progresiva-1-2-8-o-vigi-c230i-mini-2-8mm/pd/D4FXQXYBM/" TargetMode="External" Id="rId15"/><Relationship Type="http://schemas.openxmlformats.org/officeDocument/2006/relationships/hyperlink" Target="https://www.emag.ro/camera-supraveghere-ip-hilook-4mp-lentila-fixa-2-8-mm-ir-20m-dome-poe-h-265-dwdr-carcasa-plastic-camera-de-supraveghere-interior-ipc-d141h-c/pd/D9QL8X3BM/" TargetMode="External" Id="rId16"/><Relationship Type="http://schemas.openxmlformats.org/officeDocument/2006/relationships/hyperlink" Target="https://www.emag.ro/search/tapo%20c120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mag.ro/poe-injector-tp-link-tl-poe150s/pd/EHDXKBBBM/" TargetMode="External" Id="rId1"/><Relationship Type="http://schemas.openxmlformats.org/officeDocument/2006/relationships/hyperlink" Target="https://www.emag.ro/switch-tp-link-6-porturi-rj45-4-porturi-poe-65-w/pd/D2ZYGG3BM/" TargetMode="External" Id="rId2"/><Relationship Type="http://schemas.openxmlformats.org/officeDocument/2006/relationships/hyperlink" Target="https://www.emag.ro/switch-tp-link-cu-5-porturi-gigabit-4-porturi-poe-tl-sg1005p/pd/D1JBN1BBM/" TargetMode="External" Id="rId3"/><Relationship Type="http://schemas.openxmlformats.org/officeDocument/2006/relationships/hyperlink" Target="https://www.emag.ro/cablu-ecranat-ftp-lanberg-42798-cat-6-mufat-2xrj45-lungime-30m-awg-26-250-mhz-de-legatura-retea-ethernet-albastru-albastru-30-m-pcf6-10cc-3000-b/pd/DD50HYMBM/" TargetMode="External" Id="rId4"/><Relationship Type="http://schemas.openxmlformats.org/officeDocument/2006/relationships/hyperlink" Target="https://www.emag.ro/patch-cord-spacer-s-ftp-cat6-30m-alb-sppc-sftp-cat6-30m/pd/D2Z7HZYBM/" TargetMode="External" Id="rId5"/><Relationship Type="http://schemas.openxmlformats.org/officeDocument/2006/relationships/hyperlink" Target="https://www.emag.ro/cablu-de-retea-cat6-ftp-f-utp-extralink-305m-exterior-conductor-cupru-awg23-izolatie-pe-hdpe-negru-rezistenta-la-interferente-fast-gigabit-ethernet-instalare-profesionala-dnxfmporermnhmv2/pd/D3ZJ053BM/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emag.ro" TargetMode="External" Id="rId1"/><Relationship Type="http://schemas.openxmlformats.org/officeDocument/2006/relationships/hyperlink" Target="https://www.compari.ro/camere-de-supraveghere-c3871/axis-communications/m3086-v-2-4mm-02374-001-p954784317/" TargetMode="External" Id="rId2"/><Relationship Type="http://schemas.openxmlformats.org/officeDocument/2006/relationships/hyperlink" Target="https://camera-ip.compari.ro/hikvision/ds-2cd2143g2-iu-2-8mm-p635289147/" TargetMode="External" Id="rId3"/><Relationship Type="http://schemas.openxmlformats.org/officeDocument/2006/relationships/hyperlink" Target="https://rovision.ro/produs/camera-supraveghere-ip-acusense-4mp-ir-30m-lentila-2-8mm-card-hikvision-ds-2cd2143g2-is28/" TargetMode="External" Id="rId4"/><Relationship Type="http://schemas.openxmlformats.org/officeDocument/2006/relationships/hyperlink" Target="https://blvs.com/content/downloads/Datasheet-for-DS-2CD2383G2-IU.pdf" TargetMode="External" Id="rId5"/><Relationship Type="http://schemas.openxmlformats.org/officeDocument/2006/relationships/hyperlink" Target="https://www.hikvision.com/content/dam/hikvision/products/S000000001/S000000002/S000000003/S000000025/OFR000038/M000037856/Data_Sheet/DS-2CD2743G2-IZS_Datasheet_V5.5.102_20200923.pdf" TargetMode="External" Id="rId6"/><Relationship Type="http://schemas.openxmlformats.org/officeDocument/2006/relationships/hyperlink" Target="https://global.uniview.com/fr/Products/Cameras/Easy/IPC3618LE-ADF28(40)K-G/" TargetMode="External" Id="rId7"/><Relationship Type="http://schemas.openxmlformats.org/officeDocument/2006/relationships/hyperlink" Target="https://www.uniview.com/Products/Network_Cameras/Easy_Series/EasyBasic_Series/IPC3534LB-ADZK-H/" TargetMode="External" Id="rId8"/><Relationship Type="http://schemas.openxmlformats.org/officeDocument/2006/relationships/hyperlink" Target="https://global.uniview.com/Products/Network_Cameras/Prime_Series/PRIMEI_Series/IPC3235SB-ADZK-I0/" TargetMode="External" Id="rId9"/><Relationship Type="http://schemas.openxmlformats.org/officeDocument/2006/relationships/hyperlink" Target="https://www.dahuasecurity.com/products/network-products/network-cameras/WizSense-Series/2-Series/IR/IPC-HDBW2441E-S" TargetMode="External" Id="rId10"/><Relationship Type="http://schemas.openxmlformats.org/officeDocument/2006/relationships/hyperlink" Target="https://www.dahuasecurity.com/mena/products/All-Products/Network-Cameras/WizSense-2-Series/IR/IPC-HDW2441T-S" TargetMode="External" Id="rId11"/><Relationship Type="http://schemas.openxmlformats.org/officeDocument/2006/relationships/hyperlink" Target="https://cdn.reolink.com/files/docs/specs/RLC-520A-IP-Camera-Specifications.pdf" TargetMode="External" Id="rId12"/><Relationship Type="http://schemas.openxmlformats.org/officeDocument/2006/relationships/hyperlink" Target="https://reolink.com/product/rlc-820a/" TargetMode="External" Id="rId13"/><Relationship Type="http://schemas.openxmlformats.org/officeDocument/2006/relationships/hyperlink" Target="https://reolink.com/product/rlc-833a/" TargetMode="External" Id="rId14"/><Relationship Type="http://schemas.openxmlformats.org/officeDocument/2006/relationships/hyperlink" Target="https://www.tp-link.com/us/business-networking/vigi-network-camera/vigi-c340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UBite — camere pentru coada cantinei, piața din România</t>
        </is>
      </c>
    </row>
    <row r="2">
      <c r="A2" s="2" t="inlineStr">
        <is>
          <t>Prețuri verificate pe 25.09.2026 (eMAG, compari.ro, Rovision). Prețurile de marketplace variază — reverifică înainte de comandă.</t>
        </is>
      </c>
    </row>
    <row r="4" ht="44" customHeight="1">
      <c r="A4" s="3" t="inlineStr">
        <is>
          <t>Cum lucrăm</t>
        </is>
      </c>
      <c r="B4" s="4" t="inlineStr">
        <is>
          <t>Camera doar filmează. Serverul UB (VM-ul ACC-UB) ia imaginea, rulează detecția de persoane și păstrează doar un număr (docs/07, docs/11). Nicio imagine nu se salvează.</t>
        </is>
      </c>
    </row>
    <row r="5" ht="44" customHeight="1">
      <c r="A5" s="3" t="inlineStr">
        <is>
          <t>Ce contează la cameră</t>
        </is>
      </c>
      <c r="B5" s="4" t="inlineStr">
        <is>
          <t>Imagine de calitate la cadență mică: rezoluție 4–8 MP, WDR real 120 dB (ferestre în spatele cozii), senzor mare pentru lumină slabă, RTSP + ONVIF (Profile S) și snapshot JPEG, H.265, alimentare PoE, cadență setabilă la 1–5 fps.</t>
        </is>
      </c>
    </row>
    <row r="6" ht="44" customHeight="1">
      <c r="A6" s="3" t="inlineStr">
        <is>
          <t>Ce NU mai contează</t>
        </is>
      </c>
      <c r="B6" s="4" t="inlineStr">
        <is>
          <t>Numărarea în firmware (opțiunea A din docs/23) nu mai e necesară — procesarea e pe server. Nici NVR, nici card, nici aplicații cloud.</t>
        </is>
      </c>
    </row>
    <row r="7" ht="30" customHeight="1">
      <c r="A7" s="3" t="inlineStr">
        <is>
          <t>Recomandarea 1</t>
        </is>
      </c>
      <c r="B7" s="4" t="inlineStr">
        <is>
          <t>Uniview IPC3618LE-ADF28K-G — 8 MP, WDR 120 dB, ~452 lei. Cel mai bun raport calitate/preț.</t>
        </is>
      </c>
    </row>
    <row r="8" ht="44" customHeight="1">
      <c r="A8" s="3" t="inlineStr">
        <is>
          <t>Recomandarea 2</t>
        </is>
      </c>
      <c r="B8" s="4" t="inlineStr">
        <is>
          <t>Hikvision DS-2CD2383G2-IU — 8 MP, senzor 1/2.8", 107°, ~820–940 lei. Seria Pro, cea mai bine documentată pentru integrare.</t>
        </is>
      </c>
    </row>
    <row r="9" ht="44" customHeight="1">
      <c r="A9" s="3" t="inlineStr">
        <is>
          <t>Dacă montajul e departe de coadă</t>
        </is>
      </c>
      <c r="B9" s="4" t="inlineStr">
        <is>
          <t>Uniview IPC3235SB-ADZK-I0 (5 MP, zoom motorizat, lumină slabă foarte bună, ~879 lei) sau varianta ieftină IPC3534LB-ADZK-H (~450 lei).</t>
        </is>
      </c>
    </row>
    <row r="10" ht="30" customHeight="1">
      <c r="A10" s="3" t="inlineStr">
        <is>
          <t>Dacă IT UB cere un brand european</t>
        </is>
      </c>
      <c r="B10" s="4" t="inlineStr">
        <is>
          <t>Axis M3086-V — de la ~1.705 lei. Firmware fără cloud, actualizări pe termen lung.</t>
        </is>
      </c>
    </row>
    <row r="11" ht="30" customHeight="1">
      <c r="A11" s="3" t="inlineStr">
        <is>
          <t>Cost total, o cameră</t>
        </is>
      </c>
      <c r="B11" s="4" t="inlineStr">
        <is>
          <t>Vezi foaia „Scenarii”: de la ~447 lei (test) la ~1.866 lei (premium), cu injector PoE și 30 m de cablu.</t>
        </is>
      </c>
    </row>
    <row r="12" ht="44" customHeight="1">
      <c r="A12" s="3" t="inlineStr">
        <is>
          <t>Rețea — de lămurit înainte de comandă</t>
        </is>
      </c>
      <c r="B12" s="4" t="inlineStr">
        <is>
          <t>Camera trebuie să fie pe un cablu (nu Wi-Fi) și să poată fi accesată de pe VM-ul UB: aceeași rețea UB sau o regulă de firewall/VPN (întrebarea C5 din docs/17). Vezi foaia „Rețea și întrebări”.</t>
        </is>
      </c>
    </row>
    <row r="13" ht="30" customHeight="1">
      <c r="A13" s="3" t="inlineStr">
        <is>
          <t>Cine cumpără</t>
        </is>
      </c>
      <c r="B13" s="4" t="inlineStr">
        <is>
          <t>DCCAS (docs/14, docs/17 B1). Trimite-le foaia „Camere” cu recomandările marcate.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26" customWidth="1" min="4" max="4"/>
    <col width="18" customWidth="1" min="5" max="5"/>
    <col width="18" customWidth="1" min="6" max="6"/>
    <col width="5" customWidth="1" min="7" max="7"/>
    <col width="11" customWidth="1" min="8" max="8"/>
    <col width="11" customWidth="1" min="9" max="9"/>
    <col width="11" customWidth="1" min="10" max="10"/>
    <col width="18" customWidth="1" min="11" max="11"/>
    <col width="22" customWidth="1" min="12" max="12"/>
    <col width="18" customWidth="1" min="13" max="13"/>
    <col width="14" customWidth="1" min="14" max="14"/>
    <col width="20" customWidth="1" min="15" max="15"/>
    <col width="14" customWidth="1" min="16" max="16"/>
    <col width="16" customWidth="1" min="17" max="17"/>
    <col width="12" customWidth="1" min="18" max="18"/>
    <col width="10" customWidth="1" min="19" max="19"/>
    <col width="9" customWidth="1" min="20" max="20"/>
    <col width="70" customWidth="1" min="21" max="21"/>
  </cols>
  <sheetData>
    <row r="1">
      <c r="A1" s="1" t="inlineStr">
        <is>
          <t>Camere IP disponibile în România</t>
        </is>
      </c>
    </row>
    <row r="2">
      <c r="A2" s="2" t="inlineStr">
        <is>
          <t>Verificat 25.09.2026. „Potrivire” = cât de bine servește coada cantinei cu procesare pe server (1–5).</t>
        </is>
      </c>
    </row>
    <row r="4" ht="32" customHeight="1">
      <c r="A4" s="5" t="inlineStr">
        <is>
          <t>#</t>
        </is>
      </c>
      <c r="B4" s="5" t="inlineStr">
        <is>
          <t>Nivel</t>
        </is>
      </c>
      <c r="C4" s="5" t="inlineStr">
        <is>
          <t>Brand</t>
        </is>
      </c>
      <c r="D4" s="5" t="inlineStr">
        <is>
          <t>Model</t>
        </is>
      </c>
      <c r="E4" s="5" t="inlineStr">
        <is>
          <t>Formă</t>
        </is>
      </c>
      <c r="F4" s="5" t="inlineStr">
        <is>
          <t>Rezoluție max</t>
        </is>
      </c>
      <c r="G4" s="5" t="inlineStr">
        <is>
          <t>MP</t>
        </is>
      </c>
      <c r="H4" s="5" t="inlineStr">
        <is>
          <t>Senzor</t>
        </is>
      </c>
      <c r="I4" s="5" t="inlineStr">
        <is>
          <t>Obiectiv (mm)</t>
        </is>
      </c>
      <c r="J4" s="5" t="inlineStr">
        <is>
          <t>Unghi orizontal (°)</t>
        </is>
      </c>
      <c r="K4" s="5" t="inlineStr">
        <is>
          <t>WDR</t>
        </is>
      </c>
      <c r="L4" s="5" t="inlineStr">
        <is>
          <t>Codec</t>
        </is>
      </c>
      <c r="M4" s="5" t="inlineStr">
        <is>
          <t>RTSP / ONVIF</t>
        </is>
      </c>
      <c r="N4" s="5" t="inlineStr">
        <is>
          <t>Alimentare</t>
        </is>
      </c>
      <c r="O4" s="5" t="inlineStr">
        <is>
          <t>Microfon</t>
        </is>
      </c>
      <c r="P4" s="5" t="inlineStr">
        <is>
          <t>Preț găsit (lei, cu TVA)</t>
        </is>
      </c>
      <c r="Q4" s="5" t="inlineStr">
        <is>
          <t>Unde</t>
        </is>
      </c>
      <c r="R4" s="5" t="inlineStr">
        <is>
          <t>Link</t>
        </is>
      </c>
      <c r="S4" s="5" t="inlineStr">
        <is>
          <t>Potrivire (1–5)</t>
        </is>
      </c>
      <c r="T4" s="5" t="inlineStr">
        <is>
          <t>Lei / MP</t>
        </is>
      </c>
      <c r="U4" s="5" t="inlineStr">
        <is>
          <t>Note</t>
        </is>
      </c>
    </row>
    <row r="5" ht="58" customHeight="1">
      <c r="A5" s="6" t="n">
        <v>1</v>
      </c>
      <c r="B5" s="6" t="inlineStr">
        <is>
          <t>Recomandat</t>
        </is>
      </c>
      <c r="C5" s="6" t="inlineStr">
        <is>
          <t>Uniview</t>
        </is>
      </c>
      <c r="D5" s="6" t="inlineStr">
        <is>
          <t>IPC3618LE-ADF28K-G</t>
        </is>
      </c>
      <c r="E5" s="6" t="inlineStr">
        <is>
          <t>Eyeball (turret)</t>
        </is>
      </c>
      <c r="F5" s="6" t="inlineStr">
        <is>
          <t>3840×2160 @20 fps</t>
        </is>
      </c>
      <c r="G5" s="6" t="n">
        <v>8</v>
      </c>
      <c r="H5" s="6" t="inlineStr">
        <is>
          <t>1/2.7"</t>
        </is>
      </c>
      <c r="I5" s="6" t="inlineStr">
        <is>
          <t>2.8</t>
        </is>
      </c>
      <c r="J5" s="6" t="inlineStr">
        <is>
          <t>~113</t>
        </is>
      </c>
      <c r="K5" s="6" t="inlineStr">
        <is>
          <t>120 dB (real)</t>
        </is>
      </c>
      <c r="L5" s="6" t="inlineStr">
        <is>
          <t>Ultra 265 / H.265 / H.264</t>
        </is>
      </c>
      <c r="M5" s="6" t="inlineStr">
        <is>
          <t>Da / Da</t>
        </is>
      </c>
      <c r="N5" s="6" t="inlineStr">
        <is>
          <t>PoE 802.3af</t>
        </is>
      </c>
      <c r="O5" s="6" t="inlineStr">
        <is>
          <t>Da — se dezactivează</t>
        </is>
      </c>
      <c r="P5" s="7" t="n">
        <v>452.19</v>
      </c>
      <c r="Q5" s="6" t="inlineStr">
        <is>
          <t>eMAG</t>
        </is>
      </c>
      <c r="R5" s="8" t="inlineStr">
        <is>
          <t>deschide</t>
        </is>
      </c>
      <c r="S5" s="6" t="n">
        <v>5</v>
      </c>
      <c r="T5" s="9">
        <f>P5/G5</f>
        <v/>
      </c>
      <c r="U5" s="6" t="inlineStr">
        <is>
          <t>Cel mai bun raport calitate/preț: 4K cu WDR real sub 500 lei. La 8 MP oamenii din capătul cozii au destui pixeli; serverul poate rula modelul la 1280 px sau pe tile-uri.</t>
        </is>
      </c>
    </row>
    <row r="6" ht="58" customHeight="1">
      <c r="A6" s="6" t="n">
        <v>2</v>
      </c>
      <c r="B6" s="6" t="inlineStr">
        <is>
          <t>Recomandat</t>
        </is>
      </c>
      <c r="C6" s="6" t="inlineStr">
        <is>
          <t>Hikvision</t>
        </is>
      </c>
      <c r="D6" s="6" t="inlineStr">
        <is>
          <t>DS-2CD2383G2-IU (2.8mm)</t>
        </is>
      </c>
      <c r="E6" s="6" t="inlineStr">
        <is>
          <t>Turret</t>
        </is>
      </c>
      <c r="F6" s="6" t="inlineStr">
        <is>
          <t>3840×2160 @20 fps</t>
        </is>
      </c>
      <c r="G6" s="6" t="n">
        <v>8</v>
      </c>
      <c r="H6" s="6" t="inlineStr">
        <is>
          <t>1/2.8"</t>
        </is>
      </c>
      <c r="I6" s="6" t="inlineStr">
        <is>
          <t>2.8</t>
        </is>
      </c>
      <c r="J6" s="6" t="inlineStr">
        <is>
          <t>107</t>
        </is>
      </c>
      <c r="K6" s="6" t="inlineStr">
        <is>
          <t>120 dB (real)</t>
        </is>
      </c>
      <c r="L6" s="6" t="inlineStr">
        <is>
          <t>H.265+ / H.265 / H.264</t>
        </is>
      </c>
      <c r="M6" s="6" t="inlineStr">
        <is>
          <t>Da / Da (ONVIF S, G, T)</t>
        </is>
      </c>
      <c r="N6" s="6" t="inlineStr">
        <is>
          <t>PoE 802.3af</t>
        </is>
      </c>
      <c r="O6" s="6" t="inlineStr">
        <is>
          <t>Da — se dezactivează</t>
        </is>
      </c>
      <c r="P6" s="7" t="n">
        <v>937.76</v>
      </c>
      <c r="Q6" s="6" t="inlineStr">
        <is>
          <t>eMAG</t>
        </is>
      </c>
      <c r="R6" s="8" t="inlineStr">
        <is>
          <t>deschide</t>
        </is>
      </c>
      <c r="S6" s="6" t="n">
        <v>5</v>
      </c>
      <c r="T6" s="9">
        <f>P6/G6</f>
        <v/>
      </c>
      <c r="U6" s="6" t="inlineStr">
        <is>
          <t>Seria Pro AcuSense, senzor 1/2.8", unghi 107°. Varianta DS-2CD2383G2-IUB2 apare la 819,17 lei. Firmware și ISAPI documentate — snapshot JPEG simplu de tras de pe server.</t>
        </is>
      </c>
    </row>
    <row r="7" ht="58" customHeight="1">
      <c r="A7" s="6" t="n">
        <v>3</v>
      </c>
      <c r="B7" s="6" t="inlineStr">
        <is>
          <t>Recomandat</t>
        </is>
      </c>
      <c r="C7" s="6" t="inlineStr">
        <is>
          <t>Uniview</t>
        </is>
      </c>
      <c r="D7" s="6" t="inlineStr">
        <is>
          <t>IPC3235SB-ADZK-I0</t>
        </is>
      </c>
      <c r="E7" s="6" t="inlineStr">
        <is>
          <t>Dome (motorizat)</t>
        </is>
      </c>
      <c r="F7" s="6" t="inlineStr">
        <is>
          <t>2880×1620 @25 fps</t>
        </is>
      </c>
      <c r="G7" s="6" t="n">
        <v>5</v>
      </c>
      <c r="H7" s="6" t="inlineStr">
        <is>
          <t>1/2.7"</t>
        </is>
      </c>
      <c r="I7" s="6" t="inlineStr">
        <is>
          <t>2.7–13.5</t>
        </is>
      </c>
      <c r="J7" s="6" t="inlineStr">
        <is>
          <t>98.3–31.4</t>
        </is>
      </c>
      <c r="K7" s="6" t="inlineStr">
        <is>
          <t>120 dB (real)</t>
        </is>
      </c>
      <c r="L7" s="6" t="inlineStr">
        <is>
          <t>Ultra 265 / H.265 / H.264 / MJPEG</t>
        </is>
      </c>
      <c r="M7" s="6" t="inlineStr">
        <is>
          <t>Da / Da</t>
        </is>
      </c>
      <c r="N7" s="6" t="inlineStr">
        <is>
          <t>PoE 802.3af</t>
        </is>
      </c>
      <c r="O7" s="6" t="inlineStr">
        <is>
          <t>Microfon integrat — verifică / dezactivează</t>
        </is>
      </c>
      <c r="P7" s="7" t="n">
        <v>878.99</v>
      </c>
      <c r="Q7" s="6" t="inlineStr">
        <is>
          <t>eMAG</t>
        </is>
      </c>
      <c r="R7" s="8" t="inlineStr">
        <is>
          <t>deschide</t>
        </is>
      </c>
      <c r="S7" s="6" t="n">
        <v>5</v>
      </c>
      <c r="T7" s="9">
        <f>P7/G7</f>
        <v/>
      </c>
      <c r="U7" s="6" t="inlineStr">
        <is>
          <t>LightHunter (lumină slabă foarte bună) + zoom motorizat: încadrezi exact coada din browser după montaj, fără să urci pe scară. Dome IK10, se poate monta pe tavan.</t>
        </is>
      </c>
    </row>
    <row r="8" ht="58" customHeight="1">
      <c r="A8" s="10" t="n">
        <v>4</v>
      </c>
      <c r="B8" s="10" t="inlineStr">
        <is>
          <t>Bun</t>
        </is>
      </c>
      <c r="C8" s="10" t="inlineStr">
        <is>
          <t>Hikvision</t>
        </is>
      </c>
      <c r="D8" s="10" t="inlineStr">
        <is>
          <t>DS-2CD2143G2-IU (2.8mm)</t>
        </is>
      </c>
      <c r="E8" s="10" t="inlineStr">
        <is>
          <t>Dome</t>
        </is>
      </c>
      <c r="F8" s="10" t="inlineStr">
        <is>
          <t>2688×1520 @30 fps</t>
        </is>
      </c>
      <c r="G8" s="10" t="n">
        <v>4</v>
      </c>
      <c r="H8" s="10" t="inlineStr">
        <is>
          <t>1/3"</t>
        </is>
      </c>
      <c r="I8" s="10" t="inlineStr">
        <is>
          <t>2.8</t>
        </is>
      </c>
      <c r="J8" s="10" t="inlineStr">
        <is>
          <t>103</t>
        </is>
      </c>
      <c r="K8" s="10" t="inlineStr">
        <is>
          <t>120 dB (real)</t>
        </is>
      </c>
      <c r="L8" s="10" t="inlineStr">
        <is>
          <t>H.265+ / H.265 / H.264</t>
        </is>
      </c>
      <c r="M8" s="10" t="inlineStr">
        <is>
          <t>Da / Da (ONVIF S, G, T)</t>
        </is>
      </c>
      <c r="N8" s="10" t="inlineStr">
        <is>
          <t>PoE 802.3af</t>
        </is>
      </c>
      <c r="O8" s="10" t="inlineStr">
        <is>
          <t>Da — se dezactivează</t>
        </is>
      </c>
      <c r="P8" s="11" t="n">
        <v>435.6</v>
      </c>
      <c r="Q8" s="10" t="inlineStr">
        <is>
          <t>eMAG</t>
        </is>
      </c>
      <c r="R8" s="12" t="inlineStr">
        <is>
          <t>deschide</t>
        </is>
      </c>
      <c r="S8" s="10" t="n">
        <v>4</v>
      </c>
      <c r="T8" s="13">
        <f>P8/G8</f>
        <v/>
      </c>
      <c r="U8" s="10" t="inlineStr">
        <is>
          <t>Modelul din docs/23. Suficient dacă coada are sub ~6 m. Alte oferte: de la 603,19 lei pe compari.ro; varianta -IS la Rovision 823,99 lei.</t>
        </is>
      </c>
    </row>
    <row r="9" ht="58" customHeight="1">
      <c r="A9" s="10" t="n">
        <v>5</v>
      </c>
      <c r="B9" s="10" t="inlineStr">
        <is>
          <t>Bun</t>
        </is>
      </c>
      <c r="C9" s="10" t="inlineStr">
        <is>
          <t>Hikvision</t>
        </is>
      </c>
      <c r="D9" s="10" t="inlineStr">
        <is>
          <t>DS-2CD2743G2-IZS</t>
        </is>
      </c>
      <c r="E9" s="10" t="inlineStr">
        <is>
          <t>Dome (motorizat)</t>
        </is>
      </c>
      <c r="F9" s="10" t="inlineStr">
        <is>
          <t>2688×1520 @30 fps</t>
        </is>
      </c>
      <c r="G9" s="10" t="n">
        <v>4</v>
      </c>
      <c r="H9" s="10" t="inlineStr">
        <is>
          <t>1/3"</t>
        </is>
      </c>
      <c r="I9" s="10" t="inlineStr">
        <is>
          <t>2.8–12</t>
        </is>
      </c>
      <c r="J9" s="10" t="inlineStr">
        <is>
          <t>95.8–29.2</t>
        </is>
      </c>
      <c r="K9" s="10" t="inlineStr">
        <is>
          <t>120 dB (real)</t>
        </is>
      </c>
      <c r="L9" s="10" t="inlineStr">
        <is>
          <t>H.265+ / H.265 / H.264</t>
        </is>
      </c>
      <c r="M9" s="10" t="inlineStr">
        <is>
          <t>Da / Da (ONVIF S, G, T)</t>
        </is>
      </c>
      <c r="N9" s="10" t="inlineStr">
        <is>
          <t>PoE 802.3af</t>
        </is>
      </c>
      <c r="O9" s="10" t="inlineStr">
        <is>
          <t>Nu (doar intrare audio)</t>
        </is>
      </c>
      <c r="P9" s="11" t="n">
        <v>1228.55</v>
      </c>
      <c r="Q9" s="10" t="inlineStr">
        <is>
          <t>eMAG</t>
        </is>
      </c>
      <c r="R9" s="12" t="inlineStr">
        <is>
          <t>deschide</t>
        </is>
      </c>
      <c r="S9" s="10" t="n">
        <v>4</v>
      </c>
      <c r="T9" s="13">
        <f>P9/G9</f>
        <v/>
      </c>
      <c r="U9" s="10" t="inlineStr">
        <is>
          <t>Zoom motorizat 2.8–12 mm: bun dacă singurul loc de montaj e departe de coadă. Fără microfon — un argument în plus pentru DPO.</t>
        </is>
      </c>
    </row>
    <row r="10" ht="58" customHeight="1">
      <c r="A10" s="10" t="n">
        <v>6</v>
      </c>
      <c r="B10" s="10" t="inlineStr">
        <is>
          <t>Bun</t>
        </is>
      </c>
      <c r="C10" s="10" t="inlineStr">
        <is>
          <t>Uniview</t>
        </is>
      </c>
      <c r="D10" s="10" t="inlineStr">
        <is>
          <t>IPC3534LB-ADZK-H</t>
        </is>
      </c>
      <c r="E10" s="10" t="inlineStr">
        <is>
          <t>Dome (motorizat)</t>
        </is>
      </c>
      <c r="F10" s="10" t="inlineStr">
        <is>
          <t>2560×1440 @30 fps</t>
        </is>
      </c>
      <c r="G10" s="10" t="n">
        <v>4</v>
      </c>
      <c r="H10" s="10" t="inlineStr">
        <is>
          <t>1/3"</t>
        </is>
      </c>
      <c r="I10" s="10" t="inlineStr">
        <is>
          <t>2.8–12</t>
        </is>
      </c>
      <c r="J10" s="10" t="inlineStr">
        <is>
          <t>86.3–35.2</t>
        </is>
      </c>
      <c r="K10" s="10" t="inlineStr">
        <is>
          <t>120 dB (real)</t>
        </is>
      </c>
      <c r="L10" s="10" t="inlineStr">
        <is>
          <t>Ultra 265 / H.265 / H.264</t>
        </is>
      </c>
      <c r="M10" s="10" t="inlineStr">
        <is>
          <t>Da / Da</t>
        </is>
      </c>
      <c r="N10" s="10" t="inlineStr">
        <is>
          <t>PoE 802.3af</t>
        </is>
      </c>
      <c r="O10" s="10" t="inlineStr">
        <is>
          <t>Verifică în fișă</t>
        </is>
      </c>
      <c r="P10" s="11" t="n">
        <v>449.99</v>
      </c>
      <c r="Q10" s="10" t="inlineStr">
        <is>
          <t>eMAG</t>
        </is>
      </c>
      <c r="R10" s="12" t="inlineStr">
        <is>
          <t>deschide</t>
        </is>
      </c>
      <c r="S10" s="10" t="n">
        <v>4</v>
      </c>
      <c r="T10" s="13">
        <f>P10/G10</f>
        <v/>
      </c>
      <c r="U10" s="10" t="inlineStr">
        <is>
          <t>Cea mai ieftină cameră cu zoom motorizat și WDR real găsită. Alternativă de buget la Hikvision DS-2CD2743G2-IZS.</t>
        </is>
      </c>
    </row>
    <row r="11" ht="58" customHeight="1">
      <c r="A11" s="10" t="n">
        <v>7</v>
      </c>
      <c r="B11" s="10" t="inlineStr">
        <is>
          <t>Bun</t>
        </is>
      </c>
      <c r="C11" s="10" t="inlineStr">
        <is>
          <t>Dahua</t>
        </is>
      </c>
      <c r="D11" s="10" t="inlineStr">
        <is>
          <t>IPC-HDBW2441E-S-0280B</t>
        </is>
      </c>
      <c r="E11" s="10" t="inlineStr">
        <is>
          <t>Dome (IK10)</t>
        </is>
      </c>
      <c r="F11" s="10" t="inlineStr">
        <is>
          <t>2688×1520 @30 fps</t>
        </is>
      </c>
      <c r="G11" s="10" t="n">
        <v>4</v>
      </c>
      <c r="H11" s="10" t="inlineStr">
        <is>
          <t>1/2.9"</t>
        </is>
      </c>
      <c r="I11" s="10" t="inlineStr">
        <is>
          <t>2.8</t>
        </is>
      </c>
      <c r="J11" s="10" t="inlineStr">
        <is>
          <t>102</t>
        </is>
      </c>
      <c r="K11" s="10" t="inlineStr">
        <is>
          <t>120 dB (real)</t>
        </is>
      </c>
      <c r="L11" s="10" t="inlineStr">
        <is>
          <t>H.265 / H.264</t>
        </is>
      </c>
      <c r="M11" s="10" t="inlineStr">
        <is>
          <t>Da / Da</t>
        </is>
      </c>
      <c r="N11" s="10" t="inlineStr">
        <is>
          <t>PoE 802.3af</t>
        </is>
      </c>
      <c r="O11" s="10" t="inlineStr">
        <is>
          <t>Da — se dezactivează</t>
        </is>
      </c>
      <c r="P11" s="11" t="n">
        <v>697.61</v>
      </c>
      <c r="Q11" s="10" t="inlineStr">
        <is>
          <t>eMAG</t>
        </is>
      </c>
      <c r="R11" s="12" t="inlineStr">
        <is>
          <t>deschide</t>
        </is>
      </c>
      <c r="S11" s="10" t="n">
        <v>4</v>
      </c>
      <c r="T11" s="13">
        <f>P11/G11</f>
        <v/>
      </c>
      <c r="U11" s="10" t="inlineStr">
        <is>
          <t>WizSense seria 2, dome anti-vandal. Snapshot pe /cgi-bin/snapshot.cgi, RTSP standard.</t>
        </is>
      </c>
    </row>
    <row r="12" ht="58" customHeight="1">
      <c r="A12" s="10" t="n">
        <v>8</v>
      </c>
      <c r="B12" s="10" t="inlineStr">
        <is>
          <t>Bun</t>
        </is>
      </c>
      <c r="C12" s="10" t="inlineStr">
        <is>
          <t>Reolink</t>
        </is>
      </c>
      <c r="D12" s="10" t="inlineStr">
        <is>
          <t>RLC-833A</t>
        </is>
      </c>
      <c r="E12" s="10" t="inlineStr">
        <is>
          <t>Turret (zoom optic 3×)</t>
        </is>
      </c>
      <c r="F12" s="10" t="inlineStr">
        <is>
          <t>3840×2160 @25 fps</t>
        </is>
      </c>
      <c r="G12" s="10" t="n">
        <v>8</v>
      </c>
      <c r="H12" s="10" t="inlineStr">
        <is>
          <t>1/2.8"</t>
        </is>
      </c>
      <c r="I12" s="10" t="inlineStr">
        <is>
          <t>2.8–8</t>
        </is>
      </c>
      <c r="J12" s="10" t="inlineStr">
        <is>
          <t>94–50</t>
        </is>
      </c>
      <c r="K12" s="10" t="inlineStr">
        <is>
          <t>HDR (de verificat în contralumină)</t>
        </is>
      </c>
      <c r="L12" s="10" t="inlineStr">
        <is>
          <t>H.265 / H.264</t>
        </is>
      </c>
      <c r="M12" s="10" t="inlineStr">
        <is>
          <t>Da / Da</t>
        </is>
      </c>
      <c r="N12" s="10" t="inlineStr">
        <is>
          <t>PoE 802.3af</t>
        </is>
      </c>
      <c r="O12" s="10" t="inlineStr">
        <is>
          <t>Da — se dezactivează</t>
        </is>
      </c>
      <c r="P12" s="11" t="n">
        <v>725.33</v>
      </c>
      <c r="Q12" s="10" t="inlineStr">
        <is>
          <t>eMAG</t>
        </is>
      </c>
      <c r="R12" s="12" t="inlineStr">
        <is>
          <t>deschide</t>
        </is>
      </c>
      <c r="S12" s="10" t="n">
        <v>4</v>
      </c>
      <c r="T12" s="13">
        <f>P12/G12</f>
        <v/>
      </c>
      <c r="U12" s="10" t="inlineStr">
        <is>
          <t>4K cu zoom optic la preț mic. Reolink e mai puțin configurabil decât Hikvision/Uniview (GOP, bitrate), dar RTSP și ONVIF merg.</t>
        </is>
      </c>
    </row>
    <row r="13" ht="58" customHeight="1">
      <c r="A13" s="14" t="n">
        <v>9</v>
      </c>
      <c r="B13" s="14" t="inlineStr">
        <is>
          <t>Premium</t>
        </is>
      </c>
      <c r="C13" s="14" t="inlineStr">
        <is>
          <t>Axis</t>
        </is>
      </c>
      <c r="D13" s="14" t="inlineStr">
        <is>
          <t>M3086-V (02374-001)</t>
        </is>
      </c>
      <c r="E13" s="14" t="inlineStr">
        <is>
          <t>Mini dome interior</t>
        </is>
      </c>
      <c r="F13" s="14" t="inlineStr">
        <is>
          <t>2688×1512 @30 fps</t>
        </is>
      </c>
      <c r="G13" s="14" t="n">
        <v>4</v>
      </c>
      <c r="H13" s="14" t="inlineStr">
        <is>
          <t>1/2.7" RGB</t>
        </is>
      </c>
      <c r="I13" s="14" t="inlineStr">
        <is>
          <t>2.4</t>
        </is>
      </c>
      <c r="J13" s="14" t="inlineStr">
        <is>
          <t>130</t>
        </is>
      </c>
      <c r="K13" s="14" t="inlineStr">
        <is>
          <t>WDR Axis (de verificat dB)</t>
        </is>
      </c>
      <c r="L13" s="14" t="inlineStr">
        <is>
          <t>H.265 / H.264 + Zipstream</t>
        </is>
      </c>
      <c r="M13" s="14" t="inlineStr">
        <is>
          <t>Da / Da (ONVIF S, G, T)</t>
        </is>
      </c>
      <c r="N13" s="14" t="inlineStr">
        <is>
          <t>PoE 802.3af</t>
        </is>
      </c>
      <c r="O13" s="14" t="inlineStr">
        <is>
          <t>Nu</t>
        </is>
      </c>
      <c r="P13" s="15" t="n">
        <v>1705.16</v>
      </c>
      <c r="Q13" s="14" t="inlineStr">
        <is>
          <t>compari.ro (preț minim)</t>
        </is>
      </c>
      <c r="R13" s="16" t="inlineStr">
        <is>
          <t>deschide</t>
        </is>
      </c>
      <c r="S13" s="14" t="n">
        <v>4</v>
      </c>
      <c r="T13" s="17">
        <f>P13/G13</f>
        <v/>
      </c>
      <c r="U13" s="14" t="inlineStr">
        <is>
          <t>Producător suedez, firmware cu actualizări lungi și fără cloud — cel mai ușor de apărat în fața IT UB și a DPO. Unghi foarte larg (130°). Pe eMAG 3.684,30 lei, stoc epuizat.</t>
        </is>
      </c>
    </row>
    <row r="14" ht="58" customHeight="1">
      <c r="A14" s="18" t="n">
        <v>10</v>
      </c>
      <c r="B14" s="18" t="inlineStr">
        <is>
          <t>Buget</t>
        </is>
      </c>
      <c r="C14" s="18" t="inlineStr">
        <is>
          <t>Reolink</t>
        </is>
      </c>
      <c r="D14" s="18" t="inlineStr">
        <is>
          <t>RLC-810A</t>
        </is>
      </c>
      <c r="E14" s="18" t="inlineStr">
        <is>
          <t>Bullet</t>
        </is>
      </c>
      <c r="F14" s="18" t="inlineStr">
        <is>
          <t>3840×2160 @25 fps</t>
        </is>
      </c>
      <c r="G14" s="18" t="n">
        <v>8</v>
      </c>
      <c r="H14" s="18" t="inlineStr">
        <is>
          <t>1/2.49"</t>
        </is>
      </c>
      <c r="I14" s="18" t="inlineStr">
        <is>
          <t>4</t>
        </is>
      </c>
      <c r="J14" s="18" t="inlineStr">
        <is>
          <t>87</t>
        </is>
      </c>
      <c r="K14" s="18" t="inlineStr">
        <is>
          <t>HDR (de verificat)</t>
        </is>
      </c>
      <c r="L14" s="18" t="inlineStr">
        <is>
          <t>H.265 / H.264</t>
        </is>
      </c>
      <c r="M14" s="18" t="inlineStr">
        <is>
          <t>Da / Da</t>
        </is>
      </c>
      <c r="N14" s="18" t="inlineStr">
        <is>
          <t>PoE 802.3af</t>
        </is>
      </c>
      <c r="O14" s="18" t="inlineStr">
        <is>
          <t>Da — se dezactivează</t>
        </is>
      </c>
      <c r="P14" s="19" t="n">
        <v>503.99</v>
      </c>
      <c r="Q14" s="18" t="inlineStr">
        <is>
          <t>eMAG</t>
        </is>
      </c>
      <c r="R14" s="20" t="inlineStr">
        <is>
          <t>deschide</t>
        </is>
      </c>
      <c r="S14" s="18" t="n">
        <v>3</v>
      </c>
      <c r="T14" s="21">
        <f>P14/G14</f>
        <v/>
      </c>
      <c r="U14" s="18" t="inlineStr">
        <is>
          <t>Aceeași imagine ca RLC-820A (dome), mult mai ieftin. Bullet: se montează pe perete, nu pe tavan.</t>
        </is>
      </c>
    </row>
    <row r="15" ht="58" customHeight="1">
      <c r="A15" s="18" t="n">
        <v>11</v>
      </c>
      <c r="B15" s="18" t="inlineStr">
        <is>
          <t>Buget</t>
        </is>
      </c>
      <c r="C15" s="18" t="inlineStr">
        <is>
          <t>Reolink</t>
        </is>
      </c>
      <c r="D15" s="18" t="inlineStr">
        <is>
          <t>RLC-820A</t>
        </is>
      </c>
      <c r="E15" s="18" t="inlineStr">
        <is>
          <t>Dome</t>
        </is>
      </c>
      <c r="F15" s="18" t="inlineStr">
        <is>
          <t>3840×2160 @25 fps</t>
        </is>
      </c>
      <c r="G15" s="18" t="n">
        <v>8</v>
      </c>
      <c r="H15" s="18" t="inlineStr">
        <is>
          <t>1/2.49"</t>
        </is>
      </c>
      <c r="I15" s="18" t="inlineStr">
        <is>
          <t>4</t>
        </is>
      </c>
      <c r="J15" s="18" t="inlineStr">
        <is>
          <t>87</t>
        </is>
      </c>
      <c r="K15" s="18" t="inlineStr">
        <is>
          <t>HDR (de verificat)</t>
        </is>
      </c>
      <c r="L15" s="18" t="inlineStr">
        <is>
          <t>H.265 / H.264</t>
        </is>
      </c>
      <c r="M15" s="18" t="inlineStr">
        <is>
          <t>Da / Da</t>
        </is>
      </c>
      <c r="N15" s="18" t="inlineStr">
        <is>
          <t>PoE 802.3af</t>
        </is>
      </c>
      <c r="O15" s="18" t="inlineStr">
        <is>
          <t>Da — se dezactivează</t>
        </is>
      </c>
      <c r="P15" s="19" t="n">
        <v>1336.04</v>
      </c>
      <c r="Q15" s="18" t="inlineStr">
        <is>
          <t>eMAG (marketplace)</t>
        </is>
      </c>
      <c r="R15" s="20" t="inlineStr">
        <is>
          <t>deschide</t>
        </is>
      </c>
      <c r="S15" s="18" t="n">
        <v>3</v>
      </c>
      <c r="T15" s="21">
        <f>P15/G15</f>
        <v/>
      </c>
      <c r="U15" s="18" t="inlineStr">
        <is>
          <t>Senzor mare (1/2.49"), dar pe eMAG e scump (1.336–1.638 lei). Merită doar dacă apare sub ~600 lei.</t>
        </is>
      </c>
    </row>
    <row r="16" ht="58" customHeight="1">
      <c r="A16" s="18" t="n">
        <v>12</v>
      </c>
      <c r="B16" s="18" t="inlineStr">
        <is>
          <t>Buget</t>
        </is>
      </c>
      <c r="C16" s="18" t="inlineStr">
        <is>
          <t>Reolink</t>
        </is>
      </c>
      <c r="D16" s="18" t="inlineStr">
        <is>
          <t>RLC-520A</t>
        </is>
      </c>
      <c r="E16" s="18" t="inlineStr">
        <is>
          <t>Dome</t>
        </is>
      </c>
      <c r="F16" s="18" t="inlineStr">
        <is>
          <t>2560×1920 @30 fps</t>
        </is>
      </c>
      <c r="G16" s="18" t="n">
        <v>5</v>
      </c>
      <c r="H16" s="18" t="inlineStr">
        <is>
          <t>1/2.7"</t>
        </is>
      </c>
      <c r="I16" s="18" t="inlineStr">
        <is>
          <t>4</t>
        </is>
      </c>
      <c r="J16" s="18" t="inlineStr">
        <is>
          <t>80</t>
        </is>
      </c>
      <c r="K16" s="18" t="inlineStr">
        <is>
          <t>Fără WDR real</t>
        </is>
      </c>
      <c r="L16" s="18" t="inlineStr">
        <is>
          <t>H.264 (H.265 — verifică firmware)</t>
        </is>
      </c>
      <c r="M16" s="18" t="inlineStr">
        <is>
          <t>Da / Da (ONVIF T)</t>
        </is>
      </c>
      <c r="N16" s="18" t="inlineStr">
        <is>
          <t>PoE 802.3af</t>
        </is>
      </c>
      <c r="O16" s="18" t="inlineStr">
        <is>
          <t>Da — se dezactivează</t>
        </is>
      </c>
      <c r="P16" s="19" t="n">
        <v>285.5</v>
      </c>
      <c r="Q16" s="18" t="inlineStr">
        <is>
          <t>eMAG</t>
        </is>
      </c>
      <c r="R16" s="20" t="inlineStr">
        <is>
          <t>deschide</t>
        </is>
      </c>
      <c r="S16" s="18" t="n">
        <v>3</v>
      </c>
      <c r="T16" s="21">
        <f>P16/G16</f>
        <v/>
      </c>
      <c r="U16" s="18" t="inlineStr">
        <is>
          <t>Opțiunea B din docs/23. Unghi îngust (80°) — bun dacă se montează în capătul cozii. Fără WDR real: slabă spre ferestre.</t>
        </is>
      </c>
    </row>
    <row r="17" ht="58" customHeight="1">
      <c r="A17" s="18" t="n">
        <v>13</v>
      </c>
      <c r="B17" s="18" t="inlineStr">
        <is>
          <t>Buget</t>
        </is>
      </c>
      <c r="C17" s="18" t="inlineStr">
        <is>
          <t>Dahua</t>
        </is>
      </c>
      <c r="D17" s="18" t="inlineStr">
        <is>
          <t>IPC-HDW1839T-A-IL-0280B-S6</t>
        </is>
      </c>
      <c r="E17" s="18" t="inlineStr">
        <is>
          <t>Turret (iluminare duală)</t>
        </is>
      </c>
      <c r="F17" s="18" t="inlineStr">
        <is>
          <t>3840×2160</t>
        </is>
      </c>
      <c r="G17" s="18" t="n">
        <v>8</v>
      </c>
      <c r="H17" s="18" t="inlineStr">
        <is>
          <t>de verificat</t>
        </is>
      </c>
      <c r="I17" s="18" t="inlineStr">
        <is>
          <t>2.8</t>
        </is>
      </c>
      <c r="J17" s="18" t="inlineStr">
        <is>
          <t>de verificat</t>
        </is>
      </c>
      <c r="K17" s="18" t="inlineStr">
        <is>
          <t>DWDR (digital) — de verificat</t>
        </is>
      </c>
      <c r="L17" s="18" t="inlineStr">
        <is>
          <t>H.265 / H.264</t>
        </is>
      </c>
      <c r="M17" s="18" t="inlineStr">
        <is>
          <t>Da / Da</t>
        </is>
      </c>
      <c r="N17" s="18" t="inlineStr">
        <is>
          <t>PoE 802.3af</t>
        </is>
      </c>
      <c r="O17" s="18" t="inlineStr">
        <is>
          <t>Da — se dezactivează</t>
        </is>
      </c>
      <c r="P17" s="19" t="n">
        <v>517.79</v>
      </c>
      <c r="Q17" s="18" t="inlineStr">
        <is>
          <t>eMAG</t>
        </is>
      </c>
      <c r="R17" s="20" t="inlineStr">
        <is>
          <t>deschide</t>
        </is>
      </c>
      <c r="S17" s="18" t="n">
        <v>3</v>
      </c>
      <c r="T17" s="21">
        <f>P17/G17</f>
        <v/>
      </c>
      <c r="U17" s="18" t="inlineStr">
        <is>
          <t>Cea mai ieftină cameră 8 MP de la un brand profesional găsită. Seria Lite: probabil fără WDR real — testează în contralumină.</t>
        </is>
      </c>
    </row>
    <row r="18" ht="58" customHeight="1">
      <c r="A18" s="18" t="n">
        <v>14</v>
      </c>
      <c r="B18" s="18" t="inlineStr">
        <is>
          <t>Buget</t>
        </is>
      </c>
      <c r="C18" s="18" t="inlineStr">
        <is>
          <t>TP-Link</t>
        </is>
      </c>
      <c r="D18" s="18" t="inlineStr">
        <is>
          <t>VIGI C340 (2.8mm)</t>
        </is>
      </c>
      <c r="E18" s="18" t="inlineStr">
        <is>
          <t>Bullet</t>
        </is>
      </c>
      <c r="F18" s="18" t="inlineStr">
        <is>
          <t>2560×1440</t>
        </is>
      </c>
      <c r="G18" s="18" t="n">
        <v>4</v>
      </c>
      <c r="H18" s="18" t="inlineStr">
        <is>
          <t>1/3"</t>
        </is>
      </c>
      <c r="I18" s="18" t="inlineStr">
        <is>
          <t>2.8</t>
        </is>
      </c>
      <c r="J18" s="18" t="inlineStr">
        <is>
          <t>102</t>
        </is>
      </c>
      <c r="K18" s="18" t="inlineStr">
        <is>
          <t>DWDR (digital)</t>
        </is>
      </c>
      <c r="L18" s="18" t="inlineStr">
        <is>
          <t>H.265+ / H.265 / H.264</t>
        </is>
      </c>
      <c r="M18" s="18" t="inlineStr">
        <is>
          <t>Da / Da</t>
        </is>
      </c>
      <c r="N18" s="18" t="inlineStr">
        <is>
          <t>PoE 802.3af</t>
        </is>
      </c>
      <c r="O18" s="18" t="inlineStr">
        <is>
          <t>Da — se dezactivează</t>
        </is>
      </c>
      <c r="P18" s="19" t="n">
        <v>241.52</v>
      </c>
      <c r="Q18" s="18" t="inlineStr">
        <is>
          <t>eMAG</t>
        </is>
      </c>
      <c r="R18" s="20" t="inlineStr">
        <is>
          <t>deschide</t>
        </is>
      </c>
      <c r="S18" s="18" t="n">
        <v>2</v>
      </c>
      <c r="T18" s="21">
        <f>P18/G18</f>
        <v/>
      </c>
      <c r="U18" s="18" t="inlineStr">
        <is>
          <t>Ieftin și ușor de configurat. DWDR digital: ferestrele din spatele cozii pot ascunde oamenii în siluetă.</t>
        </is>
      </c>
    </row>
    <row r="19" ht="58" customHeight="1">
      <c r="A19" s="18" t="n">
        <v>15</v>
      </c>
      <c r="B19" s="18" t="inlineStr">
        <is>
          <t>Buget</t>
        </is>
      </c>
      <c r="C19" s="18" t="inlineStr">
        <is>
          <t>TP-Link</t>
        </is>
      </c>
      <c r="D19" s="18" t="inlineStr">
        <is>
          <t>VIGI C230I Mini (2.8mm)</t>
        </is>
      </c>
      <c r="E19" s="18" t="inlineStr">
        <is>
          <t>Mini dome interior</t>
        </is>
      </c>
      <c r="F19" s="18" t="inlineStr">
        <is>
          <t>2304×1296</t>
        </is>
      </c>
      <c r="G19" s="18" t="n">
        <v>3</v>
      </c>
      <c r="H19" s="18" t="inlineStr">
        <is>
          <t>1/2.8"</t>
        </is>
      </c>
      <c r="I19" s="18" t="inlineStr">
        <is>
          <t>2.8</t>
        </is>
      </c>
      <c r="J19" s="18" t="inlineStr">
        <is>
          <t>de verificat</t>
        </is>
      </c>
      <c r="K19" s="18" t="inlineStr">
        <is>
          <t>de verificat</t>
        </is>
      </c>
      <c r="L19" s="18" t="inlineStr">
        <is>
          <t>H.265+ / H.265 / H.264</t>
        </is>
      </c>
      <c r="M19" s="18" t="inlineStr">
        <is>
          <t>Da / Da</t>
        </is>
      </c>
      <c r="N19" s="18" t="inlineStr">
        <is>
          <t>PoE 802.3af</t>
        </is>
      </c>
      <c r="O19" s="18" t="inlineStr">
        <is>
          <t>de verificat</t>
        </is>
      </c>
      <c r="P19" s="19" t="n">
        <v>213.72</v>
      </c>
      <c r="Q19" s="18" t="inlineStr">
        <is>
          <t>eMAG</t>
        </is>
      </c>
      <c r="R19" s="20" t="inlineStr">
        <is>
          <t>deschide</t>
        </is>
      </c>
      <c r="S19" s="18" t="n">
        <v>2</v>
      </c>
      <c r="T19" s="21">
        <f>P19/G19</f>
        <v/>
      </c>
      <c r="U19" s="18" t="inlineStr">
        <is>
          <t>Mică și discretă, pentru interior. Doar 3 MP: suficient pentru o coadă scurtă și apropiată.</t>
        </is>
      </c>
    </row>
    <row r="20" ht="58" customHeight="1">
      <c r="A20" s="18" t="n">
        <v>16</v>
      </c>
      <c r="B20" s="18" t="inlineStr">
        <is>
          <t>Buget</t>
        </is>
      </c>
      <c r="C20" s="18" t="inlineStr">
        <is>
          <t>HiLook (Hikvision)</t>
        </is>
      </c>
      <c r="D20" s="18" t="inlineStr">
        <is>
          <t>IPC-D141H-C</t>
        </is>
      </c>
      <c r="E20" s="18" t="inlineStr">
        <is>
          <t>Dome interior (plastic)</t>
        </is>
      </c>
      <c r="F20" s="18" t="inlineStr">
        <is>
          <t>2560×1440</t>
        </is>
      </c>
      <c r="G20" s="18" t="n">
        <v>4</v>
      </c>
      <c r="H20" s="18" t="inlineStr">
        <is>
          <t>de verificat</t>
        </is>
      </c>
      <c r="I20" s="18" t="inlineStr">
        <is>
          <t>2.8</t>
        </is>
      </c>
      <c r="J20" s="18" t="inlineStr">
        <is>
          <t>de verificat</t>
        </is>
      </c>
      <c r="K20" s="18" t="inlineStr">
        <is>
          <t>DWDR (digital)</t>
        </is>
      </c>
      <c r="L20" s="18" t="inlineStr">
        <is>
          <t>H.265+ / H.264</t>
        </is>
      </c>
      <c r="M20" s="18" t="inlineStr">
        <is>
          <t>Da / Da</t>
        </is>
      </c>
      <c r="N20" s="18" t="inlineStr">
        <is>
          <t>PoE 802.3af</t>
        </is>
      </c>
      <c r="O20" s="18" t="inlineStr">
        <is>
          <t>Nu</t>
        </is>
      </c>
      <c r="P20" s="19" t="n">
        <v>153.66</v>
      </c>
      <c r="Q20" s="18" t="inlineStr">
        <is>
          <t>eMAG</t>
        </is>
      </c>
      <c r="R20" s="20" t="inlineStr">
        <is>
          <t>deschide</t>
        </is>
      </c>
      <c r="S20" s="18" t="n">
        <v>2</v>
      </c>
      <c r="T20" s="21">
        <f>P20/G20</f>
        <v/>
      </c>
      <c r="U20" s="18" t="inlineStr">
        <is>
          <t>Cea mai ieftină cameră PoE cu RTSP găsită. Bună ca a doua cameră de test sau pentru probe de unghi.</t>
        </is>
      </c>
    </row>
    <row r="21" ht="58" customHeight="1">
      <c r="A21" s="22" t="n">
        <v>17</v>
      </c>
      <c r="B21" s="22" t="inlineStr">
        <is>
          <t>Doar test</t>
        </is>
      </c>
      <c r="C21" s="22" t="inlineStr">
        <is>
          <t>TP-Link</t>
        </is>
      </c>
      <c r="D21" s="22" t="inlineStr">
        <is>
          <t>Tapo C120</t>
        </is>
      </c>
      <c r="E21" s="22" t="inlineStr">
        <is>
          <t>Cameră Wi-Fi</t>
        </is>
      </c>
      <c r="F21" s="22" t="inlineStr">
        <is>
          <t>2560×1440</t>
        </is>
      </c>
      <c r="G21" s="22" t="n">
        <v>4</v>
      </c>
      <c r="H21" s="22" t="inlineStr">
        <is>
          <t>de verificat</t>
        </is>
      </c>
      <c r="I21" s="22" t="inlineStr">
        <is>
          <t>de verificat</t>
        </is>
      </c>
      <c r="J21" s="22" t="inlineStr">
        <is>
          <t>de verificat</t>
        </is>
      </c>
      <c r="K21" s="22" t="inlineStr">
        <is>
          <t>de verificat</t>
        </is>
      </c>
      <c r="L21" s="22" t="inlineStr">
        <is>
          <t>H.264</t>
        </is>
      </c>
      <c r="M21" s="22" t="inlineStr">
        <is>
          <t>Da (cont cameră) / Da</t>
        </is>
      </c>
      <c r="N21" s="22" t="inlineStr">
        <is>
          <t>Wi-Fi 2.4 GHz + alimentator</t>
        </is>
      </c>
      <c r="O21" s="22" t="inlineStr">
        <is>
          <t>Da — se dezactivează</t>
        </is>
      </c>
      <c r="P21" s="23" t="n">
        <v>289.99</v>
      </c>
      <c r="Q21" s="22" t="inlineStr">
        <is>
          <t>eMAG</t>
        </is>
      </c>
      <c r="R21" s="24" t="inlineStr">
        <is>
          <t>deschide</t>
        </is>
      </c>
      <c r="S21" s="22" t="n">
        <v>1</v>
      </c>
      <c r="T21" s="25">
        <f>P21/G21</f>
        <v/>
      </c>
      <c r="U21" s="22" t="inlineStr">
        <is>
          <t>Wi-Fi-ul din cantină e slab (docs/06): nu pentru producție. Utilă o zi, pentru o probă de unghi și de model înainte de achiziție.</t>
        </is>
      </c>
    </row>
    <row r="23">
      <c r="B23" s="26" t="inlineStr">
        <is>
          <t>Legendă</t>
        </is>
      </c>
    </row>
    <row r="24">
      <c r="B24" s="27" t="inlineStr">
        <is>
          <t>Recomandat</t>
        </is>
      </c>
    </row>
    <row r="25">
      <c r="B25" s="28" t="inlineStr">
        <is>
          <t>Bun</t>
        </is>
      </c>
    </row>
    <row r="26">
      <c r="B26" s="29" t="inlineStr">
        <is>
          <t>Premium</t>
        </is>
      </c>
    </row>
    <row r="27">
      <c r="B27" s="30" t="inlineStr">
        <is>
          <t>Buget</t>
        </is>
      </c>
    </row>
    <row r="28">
      <c r="B28" s="31" t="inlineStr">
        <is>
          <t>Doar test</t>
        </is>
      </c>
    </row>
    <row r="30">
      <c r="B30" s="2" t="inlineStr">
        <is>
          <t>„de verificat” = nu apare în sursele consultate; cere fișa tehnică vânzătorului.</t>
        </is>
      </c>
    </row>
  </sheetData>
  <autoFilter ref="A4:U21"/>
  <conditionalFormatting sqref="S5:S21">
    <cfRule type="cellIs" priority="1" operator="greaterThanOrEqual" dxfId="0">
      <formula>5</formula>
    </cfRule>
    <cfRule type="cellIs" priority="2" operator="lessThanOrEqual" dxfId="1">
      <formula>2</formula>
    </cfRule>
  </conditionalFormatting>
  <hyperlinks>
    <hyperlink xmlns:r="http://schemas.openxmlformats.org/officeDocument/2006/relationships" ref="R5" r:id="rId1"/>
    <hyperlink xmlns:r="http://schemas.openxmlformats.org/officeDocument/2006/relationships" ref="R6" r:id="rId2"/>
    <hyperlink xmlns:r="http://schemas.openxmlformats.org/officeDocument/2006/relationships" ref="R7" r:id="rId3"/>
    <hyperlink xmlns:r="http://schemas.openxmlformats.org/officeDocument/2006/relationships" ref="R8" r:id="rId4"/>
    <hyperlink xmlns:r="http://schemas.openxmlformats.org/officeDocument/2006/relationships" ref="R9" r:id="rId5"/>
    <hyperlink xmlns:r="http://schemas.openxmlformats.org/officeDocument/2006/relationships" ref="R10" r:id="rId6"/>
    <hyperlink xmlns:r="http://schemas.openxmlformats.org/officeDocument/2006/relationships" ref="R11" r:id="rId7"/>
    <hyperlink xmlns:r="http://schemas.openxmlformats.org/officeDocument/2006/relationships" ref="R12" r:id="rId8"/>
    <hyperlink xmlns:r="http://schemas.openxmlformats.org/officeDocument/2006/relationships" ref="R13" r:id="rId9"/>
    <hyperlink xmlns:r="http://schemas.openxmlformats.org/officeDocument/2006/relationships" ref="R14" r:id="rId10"/>
    <hyperlink xmlns:r="http://schemas.openxmlformats.org/officeDocument/2006/relationships" ref="R15" r:id="rId11"/>
    <hyperlink xmlns:r="http://schemas.openxmlformats.org/officeDocument/2006/relationships" ref="R16" r:id="rId12"/>
    <hyperlink xmlns:r="http://schemas.openxmlformats.org/officeDocument/2006/relationships" ref="R17" r:id="rId13"/>
    <hyperlink xmlns:r="http://schemas.openxmlformats.org/officeDocument/2006/relationships" ref="R18" r:id="rId14"/>
    <hyperlink xmlns:r="http://schemas.openxmlformats.org/officeDocument/2006/relationships" ref="R19" r:id="rId15"/>
    <hyperlink xmlns:r="http://schemas.openxmlformats.org/officeDocument/2006/relationships" ref="R20" r:id="rId16"/>
    <hyperlink xmlns:r="http://schemas.openxmlformats.org/officeDocument/2006/relationships" ref="R21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0" customWidth="1" min="3" max="3"/>
    <col width="10" customWidth="1" min="4" max="4"/>
    <col width="12" customWidth="1" min="5" max="5"/>
    <col width="10" customWidth="1" min="6" max="6"/>
    <col width="70" customWidth="1" min="7" max="7"/>
  </cols>
  <sheetData>
    <row r="1">
      <c r="A1" s="1" t="inlineStr">
        <is>
          <t>Accesorii pentru o cameră pe cablu</t>
        </is>
      </c>
    </row>
    <row r="2">
      <c r="A2" s="2" t="inlineStr">
        <is>
          <t>Nu e nevoie de NVR sau card: serverul trage imaginea direct din cameră.</t>
        </is>
      </c>
    </row>
    <row r="4" ht="32" customHeight="1">
      <c r="A4" s="5" t="inlineStr">
        <is>
          <t>Tip</t>
        </is>
      </c>
      <c r="B4" s="5" t="inlineStr">
        <is>
          <t>Produs</t>
        </is>
      </c>
      <c r="C4" s="5" t="inlineStr">
        <is>
          <t>Detalii</t>
        </is>
      </c>
      <c r="D4" s="5" t="inlineStr">
        <is>
          <t>Buc. în scenariu</t>
        </is>
      </c>
      <c r="E4" s="5" t="inlineStr">
        <is>
          <t>Preț (lei)</t>
        </is>
      </c>
      <c r="F4" s="5" t="inlineStr">
        <is>
          <t>Link</t>
        </is>
      </c>
      <c r="G4" s="5" t="inlineStr">
        <is>
          <t>Note</t>
        </is>
      </c>
    </row>
    <row r="5" ht="32" customHeight="1">
      <c r="A5" s="32" t="inlineStr">
        <is>
          <t>Injector PoE</t>
        </is>
      </c>
      <c r="B5" s="32" t="inlineStr">
        <is>
          <t>TP-Link TL-PoE150S</t>
        </is>
      </c>
      <c r="C5" s="32" t="inlineStr">
        <is>
          <t>802.3af, 15,4 W, gigabit</t>
        </is>
      </c>
      <c r="D5" s="32" t="n">
        <v>1</v>
      </c>
      <c r="E5" s="33" t="n">
        <v>100.42</v>
      </c>
      <c r="F5" s="34" t="inlineStr">
        <is>
          <t>deschide</t>
        </is>
      </c>
      <c r="G5" s="32" t="inlineStr">
        <is>
          <t>O cameră, un cablu, lângă o priză. Cea mai simplă variantă.</t>
        </is>
      </c>
    </row>
    <row r="6" ht="32" customHeight="1">
      <c r="A6" s="32" t="inlineStr">
        <is>
          <t>Switch PoE</t>
        </is>
      </c>
      <c r="B6" s="32" t="inlineStr">
        <is>
          <t>TP-Link LS106P</t>
        </is>
      </c>
      <c r="C6" s="32" t="inlineStr">
        <is>
          <t>6 porturi, 4 PoE+, 65 W</t>
        </is>
      </c>
      <c r="D6" s="32" t="n">
        <v>0</v>
      </c>
      <c r="E6" s="33" t="n">
        <v>137.38</v>
      </c>
      <c r="F6" s="34" t="inlineStr">
        <is>
          <t>deschide</t>
        </is>
      </c>
      <c r="G6" s="32" t="inlineStr">
        <is>
          <t>Dacă se pun două camere sau tableta chioșcului pe cablu.</t>
        </is>
      </c>
    </row>
    <row r="7" ht="32" customHeight="1">
      <c r="A7" s="32" t="inlineStr">
        <is>
          <t>Switch PoE</t>
        </is>
      </c>
      <c r="B7" s="32" t="inlineStr">
        <is>
          <t>TP-Link TL-SG1005P</t>
        </is>
      </c>
      <c r="C7" s="32" t="inlineStr">
        <is>
          <t>5 porturi gigabit, 4 PoE, 65 W</t>
        </is>
      </c>
      <c r="D7" s="32" t="n">
        <v>0</v>
      </c>
      <c r="E7" s="33" t="n">
        <v>247.79</v>
      </c>
      <c r="F7" s="34" t="inlineStr">
        <is>
          <t>deschide</t>
        </is>
      </c>
      <c r="G7" s="32" t="inlineStr">
        <is>
          <t>Varianta clasică, foarte bine evaluată (4,7/5).</t>
        </is>
      </c>
    </row>
    <row r="8" ht="32" customHeight="1">
      <c r="A8" s="32" t="inlineStr">
        <is>
          <t>Cablu</t>
        </is>
      </c>
      <c r="B8" s="32" t="inlineStr">
        <is>
          <t>Lanberg CAT6 FTP 30 m (PCF6-10CC-3000-B)</t>
        </is>
      </c>
      <c r="C8" s="32" t="inlineStr">
        <is>
          <t>CAT6, ecranat, mufat</t>
        </is>
      </c>
      <c r="D8" s="32" t="n">
        <v>1</v>
      </c>
      <c r="E8" s="33" t="n">
        <v>60.83</v>
      </c>
      <c r="F8" s="34" t="inlineStr">
        <is>
          <t>deschide</t>
        </is>
      </c>
      <c r="G8" s="32" t="inlineStr">
        <is>
          <t>Verifică la cumpărare: conductor din cupru integral, nu CCA (cupru-aluminiu), pentru PoE.</t>
        </is>
      </c>
    </row>
    <row r="9" ht="32" customHeight="1">
      <c r="A9" s="32" t="inlineStr">
        <is>
          <t>Cablu</t>
        </is>
      </c>
      <c r="B9" s="32" t="inlineStr">
        <is>
          <t>Spacer S/FTP CAT6 30 m</t>
        </is>
      </c>
      <c r="C9" s="32" t="inlineStr">
        <is>
          <t>CAT6, dublu ecranat</t>
        </is>
      </c>
      <c r="D9" s="32" t="n">
        <v>0</v>
      </c>
      <c r="E9" s="33" t="n">
        <v>61.69</v>
      </c>
      <c r="F9" s="34" t="inlineStr">
        <is>
          <t>deschide</t>
        </is>
      </c>
      <c r="G9" s="32" t="inlineStr">
        <is>
          <t>Alternativă, același preț.</t>
        </is>
      </c>
    </row>
    <row r="10" ht="32" customHeight="1">
      <c r="A10" s="32" t="inlineStr">
        <is>
          <t>Cablu (rolă)</t>
        </is>
      </c>
      <c r="B10" s="32" t="inlineStr">
        <is>
          <t>Extralink CAT6 F/UTP 305 m</t>
        </is>
      </c>
      <c r="C10" s="32" t="inlineStr">
        <is>
          <t>Cupru AWG23, pentru montaj pe traseu</t>
        </is>
      </c>
      <c r="D10" s="32" t="n">
        <v>0</v>
      </c>
      <c r="E10" s="33" t="n">
        <v>999.99</v>
      </c>
      <c r="F10" s="34" t="inlineStr">
        <is>
          <t>deschide</t>
        </is>
      </c>
      <c r="G10" s="32" t="inlineStr">
        <is>
          <t>Doar dacă traseul trebuie tras prin pereți de un electrician (atunci și mufe RJ45 + clește).</t>
        </is>
      </c>
    </row>
    <row r="12">
      <c r="D12" s="26" t="inlineStr">
        <is>
          <t>Total accesorii (scenariu)</t>
        </is>
      </c>
      <c r="E12" s="35">
        <f>SUMPRODUCT(D5:D10,E5:E10)</f>
        <v/>
      </c>
    </row>
    <row r="14">
      <c r="A14" s="2" t="inlineStr">
        <is>
          <t>Montaj: suport/doză de joncțiune de la același producător (de cotat la vânzător), diblu și șuruburi. Permisiunea de montaj: DCCAS, în scris (docs/17 B4).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  <col width="70" customWidth="1" min="6" max="6"/>
  </cols>
  <sheetData>
    <row r="1">
      <c r="A1" s="1" t="inlineStr">
        <is>
          <t>Scenarii de cost — o cameră</t>
        </is>
      </c>
    </row>
    <row r="2">
      <c r="A2" s="2" t="inlineStr">
        <is>
          <t>Prețurile se iau automat din foaia „Camere”; schimbă modelul în coloana B și totalul se recalculează.</t>
        </is>
      </c>
    </row>
    <row r="4" ht="32" customHeight="1">
      <c r="A4" s="5" t="inlineStr">
        <is>
          <t>Scenariu</t>
        </is>
      </c>
      <c r="B4" s="5" t="inlineStr">
        <is>
          <t>Model (din „Camere”)</t>
        </is>
      </c>
      <c r="C4" s="5" t="inlineStr">
        <is>
          <t>Cameră (lei)</t>
        </is>
      </c>
      <c r="D4" s="5" t="inlineStr">
        <is>
          <t>Accesorii (lei)</t>
        </is>
      </c>
      <c r="E4" s="5" t="inlineStr">
        <is>
          <t>Total (lei)</t>
        </is>
      </c>
      <c r="F4" s="5" t="inlineStr">
        <is>
          <t>De ce</t>
        </is>
      </c>
    </row>
    <row r="5" ht="30" customHeight="1">
      <c r="A5" s="32" t="inlineStr">
        <is>
          <t>Recomandat — valoare</t>
        </is>
      </c>
      <c r="B5" s="32" t="inlineStr">
        <is>
          <t>IPC3618LE-ADF28K-G</t>
        </is>
      </c>
      <c r="C5" s="33">
        <f>IFERROR(VLOOKUP(B5,Camere!$D$5:$P$21,13,FALSE),"model negăsit")</f>
        <v/>
      </c>
      <c r="D5" s="33">
        <f>Accesorii!E12</f>
        <v/>
      </c>
      <c r="E5" s="36">
        <f>IFERROR(C5+D5,"")</f>
        <v/>
      </c>
      <c r="F5" s="32" t="inlineStr">
        <is>
          <t>8 MP cu WDR real, cel mai mic preț pentru calitatea asta.</t>
        </is>
      </c>
    </row>
    <row r="6" ht="30" customHeight="1">
      <c r="A6" s="32" t="inlineStr">
        <is>
          <t>Recomandat — Hikvision Pro</t>
        </is>
      </c>
      <c r="B6" s="32" t="inlineStr">
        <is>
          <t>DS-2CD2383G2-IU (2.8mm)</t>
        </is>
      </c>
      <c r="C6" s="33">
        <f>IFERROR(VLOOKUP(B6,Camere!$D$5:$P$21,13,FALSE),"model negăsit")</f>
        <v/>
      </c>
      <c r="D6" s="33">
        <f>Accesorii!E12</f>
        <v/>
      </c>
      <c r="E6" s="36">
        <f>IFERROR(C6+D6,"")</f>
        <v/>
      </c>
      <c r="F6" s="32" t="inlineStr">
        <is>
          <t>Cea mai documentată integrare (ISAPI + ONVIF), senzor 1/2.8".</t>
        </is>
      </c>
    </row>
    <row r="7" ht="30" customHeight="1">
      <c r="A7" s="32" t="inlineStr">
        <is>
          <t>Încadrare exactă</t>
        </is>
      </c>
      <c r="B7" s="32" t="inlineStr">
        <is>
          <t>IPC3235SB-ADZK-I0</t>
        </is>
      </c>
      <c r="C7" s="33">
        <f>IFERROR(VLOOKUP(B7,Camere!$D$5:$P$21,13,FALSE),"model negăsit")</f>
        <v/>
      </c>
      <c r="D7" s="33">
        <f>Accesorii!E12</f>
        <v/>
      </c>
      <c r="E7" s="36">
        <f>IFERROR(C7+D7,"")</f>
        <v/>
      </c>
      <c r="F7" s="32" t="inlineStr">
        <is>
          <t>Zoom motorizat și lumină slabă foarte bună.</t>
        </is>
      </c>
    </row>
    <row r="8" ht="30" customHeight="1">
      <c r="A8" s="32" t="inlineStr">
        <is>
          <t>Premium, brand european</t>
        </is>
      </c>
      <c r="B8" s="32" t="inlineStr">
        <is>
          <t>M3086-V (02374-001)</t>
        </is>
      </c>
      <c r="C8" s="33">
        <f>IFERROR(VLOOKUP(B8,Camere!$D$5:$P$21,13,FALSE),"model negăsit")</f>
        <v/>
      </c>
      <c r="D8" s="33">
        <f>Accesorii!E12</f>
        <v/>
      </c>
      <c r="E8" s="36">
        <f>IFERROR(C8+D8,"")</f>
        <v/>
      </c>
      <c r="F8" s="32" t="inlineStr">
        <is>
          <t>Pentru o eventuală cerință de securitate a IT UB.</t>
        </is>
      </c>
    </row>
    <row r="9" ht="30" customHeight="1">
      <c r="A9" s="32" t="inlineStr">
        <is>
          <t>Test ieftin</t>
        </is>
      </c>
      <c r="B9" s="32" t="inlineStr">
        <is>
          <t>RLC-520A</t>
        </is>
      </c>
      <c r="C9" s="33">
        <f>IFERROR(VLOOKUP(B9,Camere!$D$5:$P$21,13,FALSE),"model negăsit")</f>
        <v/>
      </c>
      <c r="D9" s="33">
        <f>Accesorii!E12</f>
        <v/>
      </c>
      <c r="E9" s="36">
        <f>IFERROR(C9+D9,"")</f>
        <v/>
      </c>
      <c r="F9" s="32" t="inlineStr">
        <is>
          <t>O cameră de probă pentru unghi și model, înainte de achiziția finală.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50" customWidth="1" min="7" max="7"/>
  </cols>
  <sheetData>
    <row r="1">
      <c r="A1" s="1" t="inlineStr">
        <is>
          <t>Cât trafic trimite camera spre serverul UB</t>
        </is>
      </c>
    </row>
    <row r="2">
      <c r="A2" s="2" t="inlineStr">
        <is>
          <t>Estimări — modifică celulele galbene. Măsoară pe camera reală (interfața camerei arată bitrate-ul).</t>
        </is>
      </c>
    </row>
    <row r="4">
      <c r="A4" s="37" t="inlineStr">
        <is>
          <t>Ore de funcționare pe săptămână</t>
        </is>
      </c>
      <c r="B4" s="38" t="n">
        <v>27.5</v>
      </c>
      <c r="C4" s="2" t="inlineStr">
        <is>
          <t>L–V 11:30–17:00 (docs/20)</t>
        </is>
      </c>
    </row>
    <row r="5">
      <c r="A5" s="37" t="inlineStr">
        <is>
          <t>Săptămâni pe lună</t>
        </is>
      </c>
      <c r="B5" s="38" t="n">
        <v>4.33</v>
      </c>
      <c r="C5" s="2" t="inlineStr"/>
    </row>
    <row r="6">
      <c r="A6" s="37" t="inlineStr">
        <is>
          <t>Coeficient H.265 (Mbps per MP per fps)</t>
        </is>
      </c>
      <c r="B6" s="38" t="n">
        <v>0.06</v>
      </c>
      <c r="C6" s="2" t="inlineStr">
        <is>
          <t>~0,04 la 25 fps; mai mare la cadență mică, unde cadrele cheie cântăresc mai mult</t>
        </is>
      </c>
    </row>
    <row r="7">
      <c r="A7" s="37" t="inlineStr">
        <is>
          <t>JPEG — KB per MP (calitate înaltă)</t>
        </is>
      </c>
      <c r="B7" s="38" t="n">
        <v>90</v>
      </c>
      <c r="C7" s="2" t="inlineStr">
        <is>
          <t>4 MP ≈ 350 KB, 8 MP ≈ 700 KB</t>
        </is>
      </c>
    </row>
    <row r="10">
      <c r="A10" s="39" t="inlineStr">
        <is>
          <t>Varianta 1 — flux RTSP continuu la cadență mică</t>
        </is>
      </c>
    </row>
    <row r="11">
      <c r="A11" s="40" t="inlineStr">
        <is>
          <t>Rezoluție</t>
        </is>
      </c>
      <c r="B11" s="40" t="inlineStr">
        <is>
          <t>MP</t>
        </is>
      </c>
      <c r="C11" s="40" t="inlineStr">
        <is>
          <t>fps</t>
        </is>
      </c>
      <c r="D11" s="40" t="inlineStr">
        <is>
          <t>Mbps (estimat)</t>
        </is>
      </c>
      <c r="E11" s="40" t="inlineStr">
        <is>
          <t>GB / lună</t>
        </is>
      </c>
      <c r="F11" s="40" t="inlineStr">
        <is>
          <t>Observații</t>
        </is>
      </c>
    </row>
    <row r="12">
      <c r="A12" s="41" t="inlineStr">
        <is>
          <t>4 MP (2688×1520)</t>
        </is>
      </c>
      <c r="B12" s="41" t="n">
        <v>4</v>
      </c>
      <c r="C12" s="41" t="n">
        <v>2</v>
      </c>
      <c r="D12" s="42">
        <f>B12*C12*$B$6</f>
        <v/>
      </c>
      <c r="E12" s="43">
        <f>D12*3600*$B$4*$B$5/8/1000</f>
        <v/>
      </c>
      <c r="F12" s="41" t="inlineStr">
        <is>
          <t>Setează în cameră: cadență = fps, GOP = 2 × fps, bitrate variabil, calitate înaltă.</t>
        </is>
      </c>
    </row>
    <row r="13">
      <c r="A13" s="41" t="inlineStr">
        <is>
          <t>4 MP (2688×1520)</t>
        </is>
      </c>
      <c r="B13" s="41" t="n">
        <v>4</v>
      </c>
      <c r="C13" s="41" t="n">
        <v>5</v>
      </c>
      <c r="D13" s="42">
        <f>B13*C13*$B$6</f>
        <v/>
      </c>
      <c r="E13" s="43">
        <f>D13*3600*$B$4*$B$5/8/1000</f>
        <v/>
      </c>
      <c r="F13" s="41" t="inlineStr">
        <is>
          <t>Setează în cameră: cadență = fps, GOP = 2 × fps, bitrate variabil, calitate înaltă.</t>
        </is>
      </c>
    </row>
    <row r="14">
      <c r="A14" s="41" t="inlineStr">
        <is>
          <t>5 MP (2880×1620)</t>
        </is>
      </c>
      <c r="B14" s="41" t="n">
        <v>5</v>
      </c>
      <c r="C14" s="41" t="n">
        <v>2</v>
      </c>
      <c r="D14" s="42">
        <f>B14*C14*$B$6</f>
        <v/>
      </c>
      <c r="E14" s="43">
        <f>D14*3600*$B$4*$B$5/8/1000</f>
        <v/>
      </c>
      <c r="F14" s="41" t="inlineStr">
        <is>
          <t>Setează în cameră: cadență = fps, GOP = 2 × fps, bitrate variabil, calitate înaltă.</t>
        </is>
      </c>
    </row>
    <row r="15">
      <c r="A15" s="41" t="inlineStr">
        <is>
          <t>8 MP (3840×2160)</t>
        </is>
      </c>
      <c r="B15" s="41" t="n">
        <v>8</v>
      </c>
      <c r="C15" s="41" t="n">
        <v>1</v>
      </c>
      <c r="D15" s="42">
        <f>B15*C15*$B$6</f>
        <v/>
      </c>
      <c r="E15" s="43">
        <f>D15*3600*$B$4*$B$5/8/1000</f>
        <v/>
      </c>
      <c r="F15" s="41" t="inlineStr">
        <is>
          <t>Setează în cameră: cadență = fps, GOP = 2 × fps, bitrate variabil, calitate înaltă.</t>
        </is>
      </c>
    </row>
    <row r="16">
      <c r="A16" s="41" t="inlineStr">
        <is>
          <t>8 MP (3840×2160)</t>
        </is>
      </c>
      <c r="B16" s="41" t="n">
        <v>8</v>
      </c>
      <c r="C16" s="41" t="n">
        <v>2</v>
      </c>
      <c r="D16" s="42">
        <f>B16*C16*$B$6</f>
        <v/>
      </c>
      <c r="E16" s="43">
        <f>D16*3600*$B$4*$B$5/8/1000</f>
        <v/>
      </c>
      <c r="F16" s="41" t="inlineStr">
        <is>
          <t>Setează în cameră: cadență = fps, GOP = 2 × fps, bitrate variabil, calitate înaltă.</t>
        </is>
      </c>
    </row>
    <row r="17">
      <c r="A17" s="41" t="inlineStr">
        <is>
          <t>8 MP (3840×2160)</t>
        </is>
      </c>
      <c r="B17" s="41" t="n">
        <v>8</v>
      </c>
      <c r="C17" s="41" t="n">
        <v>5</v>
      </c>
      <c r="D17" s="42">
        <f>B17*C17*$B$6</f>
        <v/>
      </c>
      <c r="E17" s="43">
        <f>D17*3600*$B$4*$B$5/8/1000</f>
        <v/>
      </c>
      <c r="F17" s="41" t="inlineStr">
        <is>
          <t>Setează în cameră: cadență = fps, GOP = 2 × fps, bitrate variabil, calitate înaltă.</t>
        </is>
      </c>
    </row>
    <row r="19">
      <c r="A19" s="39" t="inlineStr">
        <is>
          <t>Varianta 2 — o fotografie JPEG la câteva secunde (recomandat)</t>
        </is>
      </c>
    </row>
    <row r="20">
      <c r="A20" s="40" t="inlineStr">
        <is>
          <t>Rezoluție</t>
        </is>
      </c>
      <c r="B20" s="40" t="inlineStr">
        <is>
          <t>MP</t>
        </is>
      </c>
      <c r="C20" s="40" t="inlineStr">
        <is>
          <t>Interval (s)</t>
        </is>
      </c>
      <c r="D20" s="40" t="inlineStr">
        <is>
          <t>Mbps (medie)</t>
        </is>
      </c>
      <c r="E20" s="40" t="inlineStr">
        <is>
          <t>GB / lună</t>
        </is>
      </c>
      <c r="F20" s="40" t="inlineStr">
        <is>
          <t>Observații</t>
        </is>
      </c>
    </row>
    <row r="21">
      <c r="A21" s="41" t="inlineStr">
        <is>
          <t>4 MP</t>
        </is>
      </c>
      <c r="B21" s="41" t="n">
        <v>4</v>
      </c>
      <c r="C21" s="41" t="n">
        <v>5</v>
      </c>
      <c r="D21" s="42">
        <f>B21*$B$7*8/1000/C21</f>
        <v/>
      </c>
      <c r="E21" s="43">
        <f>D21*3600*$B$4*$B$5/8/1000</f>
        <v/>
      </c>
      <c r="F21" s="41" t="inlineStr">
        <is>
          <t>Imagine completă la calitate maximă, fără artefacte de compresie video; serverul cere cadrul exact când îl procesează.</t>
        </is>
      </c>
    </row>
    <row r="22">
      <c r="A22" s="41" t="inlineStr">
        <is>
          <t>8 MP</t>
        </is>
      </c>
      <c r="B22" s="41" t="n">
        <v>8</v>
      </c>
      <c r="C22" s="41" t="n">
        <v>5</v>
      </c>
      <c r="D22" s="42">
        <f>B22*$B$7*8/1000/C22</f>
        <v/>
      </c>
      <c r="E22" s="43">
        <f>D22*3600*$B$4*$B$5/8/1000</f>
        <v/>
      </c>
      <c r="F22" s="41" t="inlineStr">
        <is>
          <t>Imagine completă la calitate maximă, fără artefacte de compresie video; serverul cere cadrul exact când îl procesează.</t>
        </is>
      </c>
    </row>
    <row r="23">
      <c r="A23" s="41" t="inlineStr">
        <is>
          <t>8 MP</t>
        </is>
      </c>
      <c r="B23" s="41" t="n">
        <v>8</v>
      </c>
      <c r="C23" s="41" t="n">
        <v>2</v>
      </c>
      <c r="D23" s="42">
        <f>B23*$B$7*8/1000/C23</f>
        <v/>
      </c>
      <c r="E23" s="43">
        <f>D23*3600*$B$4*$B$5/8/1000</f>
        <v/>
      </c>
      <c r="F23" s="41" t="inlineStr">
        <is>
          <t>Imagine completă la calitate maximă, fără artefacte de compresie video; serverul cere cadrul exact când îl procesează.</t>
        </is>
      </c>
    </row>
    <row r="25">
      <c r="A25" s="2" t="inlineStr">
        <is>
          <t>Snapshot: Hikvision /ISAPI/Streaming/channels/101/picture · Dahua /cgi-bin/snapshot.cgi · Uniview și Axis prin ONVIF GetSnapshotUri · Reolink /cgi-bin/api.cgi?cmd=Snap.</t>
        </is>
      </c>
    </row>
    <row r="26">
      <c r="A26" s="2" t="inlineStr">
        <is>
          <t>services/vision (bench.py watch) citește deja RTSP; varianta cu snapshot e o schimbare mică dacă aleg-o după test.</t>
        </is>
      </c>
    </row>
    <row r="27">
      <c r="A27" s="2" t="inlineStr">
        <is>
          <t>Procesare pe VM (docs/23): yolo11n la 640 px ≈ 40 ms pe 2 vCPU; la 1280 px (utile pentru 8 MP) ≈ 4× mai mult, tot sub o secundă pe cadru — suficient pentru un cadru la 2–5 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00" customWidth="1" min="3" max="3"/>
  </cols>
  <sheetData>
    <row r="1">
      <c r="A1" s="1" t="inlineStr">
        <is>
          <t>Ce trebuie lămurit înainte de comandă</t>
        </is>
      </c>
    </row>
    <row r="3" ht="32" customHeight="1">
      <c r="A3" s="5" t="inlineStr">
        <is>
          <t>#</t>
        </is>
      </c>
      <c r="B3" s="5" t="inlineStr">
        <is>
          <t>Pentru</t>
        </is>
      </c>
      <c r="C3" s="5" t="inlineStr">
        <is>
          <t>Întrebare / pas</t>
        </is>
      </c>
    </row>
    <row r="4" ht="30" customHeight="1">
      <c r="A4" s="32" t="n">
        <v>1</v>
      </c>
      <c r="B4" s="32" t="inlineStr">
        <is>
          <t>IT UB / ACC-UB</t>
        </is>
      </c>
      <c r="C4" s="32" t="inlineStr">
        <is>
          <t>Poate VM-ul UB să acceseze o cameră din rețeaua cantinei (RTSP port 554, HTTP 80)? Aceeași rețea, VLAN sau VPN? (docs/17 C5)</t>
        </is>
      </c>
    </row>
    <row r="5" ht="30" customHeight="1">
      <c r="A5" s="32" t="n">
        <v>2</v>
      </c>
      <c r="B5" s="32" t="inlineStr">
        <is>
          <t>IT UB / ACC-UB</t>
        </is>
      </c>
      <c r="C5" s="32" t="inlineStr">
        <is>
          <t>Există restricții de brand pentru echipamente conectate la rețeaua UB? (unele instituții publice din UE limitează Hikvision/Dahua)</t>
        </is>
      </c>
    </row>
    <row r="6" ht="30" customHeight="1">
      <c r="A6" s="32" t="n">
        <v>3</v>
      </c>
      <c r="B6" s="32" t="inlineStr">
        <is>
          <t>IT UB / ACC-UB</t>
        </is>
      </c>
      <c r="C6" s="32" t="inlineStr">
        <is>
          <t>Camera primește IP fix sau rezervare DHCP? Cine ține parola de administrare?</t>
        </is>
      </c>
    </row>
    <row r="7" ht="30" customHeight="1">
      <c r="A7" s="32" t="n">
        <v>4</v>
      </c>
      <c r="B7" s="32" t="inlineStr">
        <is>
          <t>DCCAS</t>
        </is>
      </c>
      <c r="C7" s="32" t="inlineStr">
        <is>
          <t>Cumpără DCCAS camera, cu ce dată și la ce preț maxim? (docs/17 B1)</t>
        </is>
      </c>
    </row>
    <row r="8" ht="30" customHeight="1">
      <c r="A8" s="32" t="n">
        <v>5</v>
      </c>
      <c r="B8" s="32" t="inlineStr">
        <is>
          <t>DCCAS</t>
        </is>
      </c>
      <c r="C8" s="32" t="inlineStr">
        <is>
          <t>Permisiune scrisă de montaj pe perete/tavan, lângă coadă (docs/17 B4). Există priză sau un port de rețea acolo?</t>
        </is>
      </c>
    </row>
    <row r="9" ht="30" customHeight="1">
      <c r="A9" s="32" t="n">
        <v>6</v>
      </c>
      <c r="B9" s="32" t="inlineStr">
        <is>
          <t>Vizită în cantină</t>
        </is>
      </c>
      <c r="C9" s="32" t="inlineStr">
        <is>
          <t>Fotografie din poziția camerei, înălțimea tavanului, lungimea cozii la vârf (docs/20). Decide obiectivul: 2.8 mm fix sau zoom motorizat.</t>
        </is>
      </c>
    </row>
    <row r="10" ht="30" customHeight="1">
      <c r="A10" s="32" t="n">
        <v>7</v>
      </c>
      <c r="B10" s="32" t="inlineStr">
        <is>
          <t>DPO</t>
        </is>
      </c>
      <c r="C10" s="32" t="inlineStr">
        <is>
          <t>Aprobarea DPIA înainte de pornire: microfon dezactivat, zona limitată la coadă, fără stocare de imagini (docs/11).</t>
        </is>
      </c>
    </row>
    <row r="11" ht="30" customHeight="1">
      <c r="A11" s="32" t="n">
        <v>8</v>
      </c>
      <c r="B11" s="32" t="inlineStr">
        <is>
          <t>Echipa</t>
        </is>
      </c>
      <c r="C11" s="32" t="inlineStr">
        <is>
          <t>Setări la montaj: parolă nouă, firmware la zi, microfon oprit, cloud/P2P oprit, UPnP oprit, NTP pe ora României, un singur cont doar-citire pentru server.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Surse</t>
        </is>
      </c>
    </row>
    <row r="2">
      <c r="A2" s="2" t="inlineStr">
        <is>
          <t>Consultate pe 25.09.2026</t>
        </is>
      </c>
    </row>
    <row r="3" ht="32" customHeight="1">
      <c r="A3" s="5" t="inlineStr">
        <is>
          <t>Ce</t>
        </is>
      </c>
      <c r="B3" s="5" t="inlineStr">
        <is>
          <t>Link</t>
        </is>
      </c>
    </row>
    <row r="4">
      <c r="A4" s="37" t="inlineStr">
        <is>
          <t>eMAG — căutări și pagini de produs</t>
        </is>
      </c>
      <c r="B4" s="44" t="inlineStr">
        <is>
          <t>https://www.emag.ro</t>
        </is>
      </c>
    </row>
    <row r="5">
      <c r="A5" s="37" t="inlineStr">
        <is>
          <t>compari.ro — Axis M3086-V</t>
        </is>
      </c>
      <c r="B5" s="44" t="inlineStr">
        <is>
          <t>https://www.compari.ro/camere-de-supraveghere-c3871/axis-communications/m3086-v-2-4mm-02374-001-p954784317/</t>
        </is>
      </c>
    </row>
    <row r="6">
      <c r="A6" s="37" t="inlineStr">
        <is>
          <t>compari.ro — Hikvision DS-2CD2143G2-IU</t>
        </is>
      </c>
      <c r="B6" s="44" t="inlineStr">
        <is>
          <t>https://camera-ip.compari.ro/hikvision/ds-2cd2143g2-iu-2-8mm-p635289147/</t>
        </is>
      </c>
    </row>
    <row r="7">
      <c r="A7" s="37" t="inlineStr">
        <is>
          <t>Rovision — Hikvision DS-2CD2143G2-IS</t>
        </is>
      </c>
      <c r="B7" s="44" t="inlineStr">
        <is>
          <t>https://rovision.ro/produs/camera-supraveghere-ip-acusense-4mp-ir-30m-lentila-2-8mm-card-hikvision-ds-2cd2143g2-is28/</t>
        </is>
      </c>
    </row>
    <row r="8">
      <c r="A8" s="37" t="inlineStr">
        <is>
          <t>Fișă Hikvision DS-2CD2383G2-I(U)</t>
        </is>
      </c>
      <c r="B8" s="44" t="inlineStr">
        <is>
          <t>https://blvs.com/content/downloads/Datasheet-for-DS-2CD2383G2-IU.pdf</t>
        </is>
      </c>
    </row>
    <row r="9">
      <c r="A9" s="37" t="inlineStr">
        <is>
          <t>Fișă Hikvision DS-2CD2743G2-IZS</t>
        </is>
      </c>
      <c r="B9" s="44" t="inlineStr">
        <is>
          <t>https://www.hikvision.com/content/dam/hikvision/products/S000000001/S000000002/S000000003/S000000025/OFR000038/M000037856/Data_Sheet/DS-2CD2743G2-IZS_Datasheet_V5.5.102_20200923.pdf</t>
        </is>
      </c>
    </row>
    <row r="10">
      <c r="A10" s="37" t="inlineStr">
        <is>
          <t>Fișă Uniview IPC3618LE-ADF28(40)K-G</t>
        </is>
      </c>
      <c r="B10" s="44" t="inlineStr">
        <is>
          <t>https://global.uniview.com/fr/Products/Cameras/Easy/IPC3618LE-ADF28(40)K-G/</t>
        </is>
      </c>
    </row>
    <row r="11">
      <c r="A11" s="37" t="inlineStr">
        <is>
          <t>Fișă Uniview IPC3534LB-ADZK-H</t>
        </is>
      </c>
      <c r="B11" s="44" t="inlineStr">
        <is>
          <t>https://www.uniview.com/Products/Network_Cameras/Easy_Series/EasyBasic_Series/IPC3534LB-ADZK-H/</t>
        </is>
      </c>
    </row>
    <row r="12">
      <c r="A12" s="37" t="inlineStr">
        <is>
          <t>Fișă Uniview IPC3235SB-ADZK-I0</t>
        </is>
      </c>
      <c r="B12" s="44" t="inlineStr">
        <is>
          <t>https://global.uniview.com/Products/Network_Cameras/Prime_Series/PRIMEI_Series/IPC3235SB-ADZK-I0/</t>
        </is>
      </c>
    </row>
    <row r="13">
      <c r="A13" s="37" t="inlineStr">
        <is>
          <t>Fișă Dahua IPC-HDBW2441E-S</t>
        </is>
      </c>
      <c r="B13" s="44" t="inlineStr">
        <is>
          <t>https://www.dahuasecurity.com/products/network-products/network-cameras/WizSense-Series/2-Series/IR/IPC-HDBW2441E-S</t>
        </is>
      </c>
    </row>
    <row r="14">
      <c r="A14" s="37" t="inlineStr">
        <is>
          <t>Fișă Dahua IPC-HDW2441T-S</t>
        </is>
      </c>
      <c r="B14" s="44" t="inlineStr">
        <is>
          <t>https://www.dahuasecurity.com/mena/products/All-Products/Network-Cameras/WizSense-2-Series/IR/IPC-HDW2441T-S</t>
        </is>
      </c>
    </row>
    <row r="15">
      <c r="A15" s="37" t="inlineStr">
        <is>
          <t>Fișă Reolink RLC-520A</t>
        </is>
      </c>
      <c r="B15" s="44" t="inlineStr">
        <is>
          <t>https://cdn.reolink.com/files/docs/specs/RLC-520A-IP-Camera-Specifications.pdf</t>
        </is>
      </c>
    </row>
    <row r="16">
      <c r="A16" s="37" t="inlineStr">
        <is>
          <t>Fișă Reolink RLC-820A</t>
        </is>
      </c>
      <c r="B16" s="44" t="inlineStr">
        <is>
          <t>https://reolink.com/product/rlc-820a/</t>
        </is>
      </c>
    </row>
    <row r="17">
      <c r="A17" s="37" t="inlineStr">
        <is>
          <t>Fișă Reolink RLC-833A</t>
        </is>
      </c>
      <c r="B17" s="44" t="inlineStr">
        <is>
          <t>https://reolink.com/product/rlc-833a/</t>
        </is>
      </c>
    </row>
    <row r="18">
      <c r="A18" s="37" t="inlineStr">
        <is>
          <t>Fișă TP-Link VIGI C340</t>
        </is>
      </c>
      <c r="B18" s="44" t="inlineStr">
        <is>
          <t>https://www.tp-link.com/us/business-networking/vigi-network-camera/vigi-c340/</t>
        </is>
      </c>
    </row>
    <row r="19">
      <c r="A19" s="37" t="inlineStr">
        <is>
          <t>UBite docs/23 — cercetare camere, benchmark CPU</t>
        </is>
      </c>
      <c r="B19" s="37" t="inlineStr">
        <is>
          <t>docs/23-camera-research.md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2026-09-25T14:03:41Z</dcterms:created>
  <dcterms:modified xmlns:dcterms="http://purl.org/dc/terms/" xmlns:xsi="http://www.w3.org/2001/XMLSchema-instance" xsi:type="dcterms:W3CDTF">2026-09-25T14:03:41Z</dcterms:modified>
</cp:coreProperties>
</file>